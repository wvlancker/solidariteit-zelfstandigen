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uleuven-my.sharepoint.com/personal/julie_vinck_kuleuven_be/Documents/Gedeeld/UNIZO/Overzicht ontvangsten &amp; uitgaven WN's &amp; ZN'n/"/>
    </mc:Choice>
  </mc:AlternateContent>
  <xr:revisionPtr revIDLastSave="277" documentId="13_ncr:1_{971947BD-D335-4284-8195-A9182FEDCEF6}" xr6:coauthVersionLast="47" xr6:coauthVersionMax="47" xr10:uidLastSave="{A50A8995-0A4A-488E-95C1-74D8A36AFBA6}"/>
  <bookViews>
    <workbookView xWindow="-120" yWindow="-120" windowWidth="29040" windowHeight="15360" xr2:uid="{00000000-000D-0000-FFFF-FFFF00000000}"/>
  </bookViews>
  <sheets>
    <sheet name="Zelfstandigen - Indépendants" sheetId="89" r:id="rId1"/>
  </sheets>
  <definedNames>
    <definedName name="ACwvu.FR." localSheetId="0" hidden="1">'Zelfstandigen - Indépendants'!$D$1:$E$95</definedName>
    <definedName name="ACwvu.NL." localSheetId="0" hidden="1">'Zelfstandigen - Indépendants'!#REF!</definedName>
    <definedName name="Cwvu.FR." localSheetId="0" hidden="1">'Zelfstandigen - Indépendants'!#REF!,'Zelfstandigen - Indépendants'!#REF!,'Zelfstandigen - Indépendants'!#REF!,'Zelfstandigen - Indépendants'!#REF!</definedName>
    <definedName name="Cwvu.NL." localSheetId="0" hidden="1">'Zelfstandigen - Indépendants'!#REF!,'Zelfstandigen - Indépendants'!#REF!,'Zelfstandigen - Indépendants'!#REF!,'Zelfstandigen - Indépendants'!#REF!</definedName>
    <definedName name="EssAliasTable" localSheetId="0">"Nederlands"</definedName>
    <definedName name="EssfHasNonUnique" localSheetId="0">FALSE</definedName>
    <definedName name="EssLatest" localSheetId="0">"1991"</definedName>
    <definedName name="EssOptions" localSheetId="0">"A1100000000011000000001100020_01 00"</definedName>
    <definedName name="EssSamplingValue" localSheetId="0">100</definedName>
    <definedName name="gg">#REF!</definedName>
    <definedName name="jj">#REF!</definedName>
    <definedName name="Print_Area_MI">#REF!</definedName>
    <definedName name="_xlnm.Print_Titles" localSheetId="0">'Zelfstandigen - Indépendants'!$A:$A</definedName>
    <definedName name="Rwvu.FR." localSheetId="0" hidden="1">'Zelfstandigen - Indépendants'!$A:$A</definedName>
    <definedName name="Rwvu.NL." localSheetId="0" hidden="1">'Zelfstandigen - Indépendants'!#REF!</definedName>
    <definedName name="Swvu.FR." localSheetId="0" hidden="1">'Zelfstandigen - Indépendants'!$D$1:$E$95</definedName>
    <definedName name="Swvu.NL." localSheetId="0" hidden="1">'Zelfstandigen - Indépendants'!#REF!</definedName>
    <definedName name="tes">#REF!</definedName>
    <definedName name="wrn.1996." localSheetId="0" hidden="1">{"NLINKS",#N/A,FALSE,"Cons 1996"}</definedName>
    <definedName name="wrn.1996." hidden="1">{"NLINKS",#N/A,FALSE,"Cons 1996"}</definedName>
    <definedName name="wrn.1996_EURO." localSheetId="0" hidden="1">{"NL",#N/A,FALSE,"Cons 1996 (EURO)";"FR",#N/A,FALSE,"Cons 1996 (EURO)"}</definedName>
    <definedName name="wrn.1996_EURO." hidden="1">{"NL",#N/A,FALSE,"Cons 1996 (EURO)";"FR",#N/A,FALSE,"Cons 1996 (EURO)"}</definedName>
    <definedName name="wrn.1997." localSheetId="0" hidden="1">{"NLINKS",#N/A,FALSE,"Cons 1997";"NRECHTS",#N/A,FALSE,"Cons 1997"}</definedName>
    <definedName name="wrn.1997." hidden="1">{"NLINKS",#N/A,FALSE,"Cons 1997";"NRECHTS",#N/A,FALSE,"Cons 1997"}</definedName>
    <definedName name="wrn.1997_EURO." localSheetId="0" hidden="1">{"NLINKS",#N/A,FALSE,"Cons 1997 (EURO)";"NRECHTS",#N/A,FALSE,"Cons 1997 (EURO)";"FLINKS",#N/A,FALSE,"Cons 1997 (EURO)";"FRECHTS",#N/A,FALSE,"Cons 1997 (EURO)"}</definedName>
    <definedName name="wrn.1997_EURO." hidden="1">{"NLINKS",#N/A,FALSE,"Cons 1997 (EURO)";"NRECHTS",#N/A,FALSE,"Cons 1997 (EURO)";"FLINKS",#N/A,FALSE,"Cons 1997 (EURO)";"FRECHTS",#N/A,FALSE,"Cons 1997 (EURO)"}</definedName>
    <definedName name="wrn.1998." localSheetId="0" hidden="1">{"NLINKS",#N/A,FALSE,"Cons 1998";"NRECHTS",#N/A,FALSE,"Cons 1998"}</definedName>
    <definedName name="wrn.1998." hidden="1">{"NLINKS",#N/A,FALSE,"Cons 1998";"NRECHTS",#N/A,FALSE,"Cons 1998"}</definedName>
    <definedName name="wrn.1998_EURO." localSheetId="0" hidden="1">{"NLINKS",#N/A,FALSE,"Cons 1998 (EURO)";"NRECHTS",#N/A,FALSE,"Cons 1998 (EURO)";"FLINKS",#N/A,FALSE,"Cons 1998 (EURO)";"FRECHTS",#N/A,FALSE,"Cons 1998 (EURO)"}</definedName>
    <definedName name="wrn.1998_EURO." hidden="1">{"NLINKS",#N/A,FALSE,"Cons 1998 (EURO)";"NRECHTS",#N/A,FALSE,"Cons 1998 (EURO)";"FLINKS",#N/A,FALSE,"Cons 1998 (EURO)";"FRECHTS",#N/A,FALSE,"Cons 1998 (EURO)"}</definedName>
    <definedName name="wrn.1999." localSheetId="0" hidden="1">{"NLINKS",#N/A,FALSE,"Cons 1999";"NRECHTS",#N/A,FALSE,"Cons 1999"}</definedName>
    <definedName name="wrn.1999." hidden="1">{"NLINKS",#N/A,FALSE,"Cons 1999";"NRECHTS",#N/A,FALSE,"Cons 1999"}</definedName>
    <definedName name="wrn.1999_EURO." localSheetId="0" hidden="1">{"NLINKS",#N/A,FALSE,"Cons 1999 (EURO)";"NRECHTS",#N/A,FALSE,"Cons 1999 (EURO)";"FLINKS",#N/A,FALSE,"Cons 1999 (EURO)";"FRECHTS",#N/A,FALSE,"Cons 1999 (EURO)"}</definedName>
    <definedName name="wrn.1999_EURO." hidden="1">{"NLINKS",#N/A,FALSE,"Cons 1999 (EURO)";"NRECHTS",#N/A,FALSE,"Cons 1999 (EURO)";"FLINKS",#N/A,FALSE,"Cons 1999 (EURO)";"FRECHTS",#N/A,FALSE,"Cons 1999 (EURO)"}</definedName>
    <definedName name="wrn.2000." localSheetId="0" hidden="1">{"NLINKS",#N/A,FALSE,"Cons 2000";"NRECHTS",#N/A,FALSE,"Cons 2000"}</definedName>
    <definedName name="wrn.2000." hidden="1">{"NLINKS",#N/A,FALSE,"Cons 2000";"NRECHTS",#N/A,FALSE,"Cons 2000"}</definedName>
    <definedName name="wrn.ALLLINKS." hidden="1">{"FRANSLINKS",#N/A,FALSE,"2.1.1-2.1.5";"NEDERLANDSLINKS",#N/A,FALSE,"2.1.1-2.1.5";"FRANSRECHTS",#N/A,FALSE,"2.2.1-2.2.4";"NEDERLANDSRECHTS",#N/A,FALSE,"2.2.1-2.2.4"}</definedName>
    <definedName name="wrn.Comfin." hidden="1">{"ANNEXE 1",#N/A,FALSE,"Annexe 1";"Annexe 2",#N/A,FALSE,"Annexe 2 et 5";"Prévisions 3",#N/A,FALSE,"Previsions 3";"Réalisations 3Bis",#N/A,FALSE,"Realisations 3BIS";"Prévisions 4",#N/A,FALSE,"Previsions 4";"Réalisations 4Bis",#N/A,FALSE,"Realisations 4BIS";"Prévisions 5",#N/A,FALSE,"Previsions 5";"Réalisations 5Bis",#N/A,FALSE,"Realisations 5BIS"}</definedName>
    <definedName name="wrn.Disponibilités." hidden="1">{"DISP 1",#N/A,FALSE,"Annexe 1";"DISP 5",#N/A,FALSE,"Annexe 2 et 5";"Disp 2",#N/A,FALSE,"Previsions 3";"DISP 2",#N/A,FALSE,"Realisations 3BIS";"Disp 2",#N/A,FALSE,"Previsions 4";"DISP 2",#N/A,FALSE,"Realisations 4BIS";"Disp 2",#N/A,FALSE,"Previsions 5";"DISP 2",#N/A,FALSE,"Realisations 5BIS"}</definedName>
    <definedName name="wrn.FR_RSZ." hidden="1">{"FR",#N/A,TRUE,"Ontvangsten";"FR",#N/A,TRUE,"Ontvangsten (vervolg)";"FR",#N/A,TRUE,"Uitgaven";"FR",#N/A,TRUE,"Voetnoot (fr)"}</definedName>
    <definedName name="wrn.globaal." hidden="1">{"frans",#N/A,FALSE,"Blad1";"nederlands",#N/A,FALSE,"Blad1"}</definedName>
    <definedName name="wrn.LINKS." hidden="1">{"FRANSLINKS",#N/A,FALSE,"1-3";"NEDERLANDSLINKS",#N/A,FALSE,"1-3"}</definedName>
    <definedName name="wrn.NL_RSZ." hidden="1">{"NL",#N/A,TRUE,"Ontvangsten";"NL",#N/A,TRUE,"Ontvangsten (vervolg)";"NL",#N/A,TRUE,"Uitgaven";"NL",#N/A,TRUE,"Voetnoot (nl)"}</definedName>
    <definedName name="wrn.rep95." hidden="1">{"globaal",#N/A,FALSE,"REPART95";"RJV",#N/A,FALSE,"REPART95";"bijz heffingen bijkomende bijdr",#N/A,FALSE,"REPART95";"FBZ",#N/A,FALSE,"REPART95";"rest",#N/A,FALSE,"REPART95"}</definedName>
    <definedName name="wvu.FR." localSheetId="0" hidden="1">{TRUE,TRUE,-1.25,-15.5,484.5,262.5,FALSE,FALSE,TRUE,TRUE,0,5,#N/A,1,#N/A,8.73529411764706,13.6153846153846,1,FALSE,FALSE,3,TRUE,1,FALSE,100,"Swvu.FR.","ACwvu.FR.",#N/A,FALSE,FALSE,0.7,0.5,0.7,0.5,2,"","",TRUE,FALSE,FALSE,FALSE,1,100,#N/A,#N/A,"=R1C5:R121C18",FALSE,"Rwvu.FR.","Cwvu.FR.",FALSE,FALSE,TRUE,9,300,300,FALSE,FALSE,TRUE,TRUE,TRUE}</definedName>
    <definedName name="wvu.NL." localSheetId="0" hidden="1">{TRUE,TRUE,-1.25,-15.5,484.5,262.5,FALSE,FALSE,TRUE,TRUE,0,1,#N/A,148,#N/A,12.7352941176471,17.1764705882353,1,FALSE,FALSE,3,TRUE,1,FALSE,100,"Swvu.NL.","ACwvu.NL.",#N/A,FALSE,FALSE,0.7,0.5,0.7,0.5,2,"","",TRUE,FALSE,FALSE,FALSE,1,100,#N/A,#N/A,"=R1C1:R121C18",FALSE,"Rwvu.NL.","Cwvu.NL.",FALSE,FALSE,TRUE,9,300,300,FALSE,FALSE,TRUE,TRUE,TRUE}</definedName>
    <definedName name="Z_0B01A096_28A2_4E4A_8444_59FB604EA9AD_.wvu.Cols" localSheetId="0" hidden="1">'Zelfstandigen - Indépendants'!$B:$C</definedName>
    <definedName name="Z_0B01A096_28A2_4E4A_8444_59FB604EA9AD_.wvu.Rows" localSheetId="0" hidden="1">'Zelfstandigen - Indépendants'!$18:$18</definedName>
    <definedName name="Z_0EE7602A_846B_493E_A732_C5A3DB985FE0_.wvu.Cols" localSheetId="0" hidden="1">'Zelfstandigen - Indépendants'!$B:$C</definedName>
    <definedName name="Z_0EE7602A_846B_493E_A732_C5A3DB985FE0_.wvu.Rows" localSheetId="0" hidden="1">'Zelfstandigen - Indépendants'!$22:$22,'Zelfstandigen - Indépendants'!#REF!,'Zelfstandigen - Indépendants'!#REF!,'Zelfstandigen - Indépendants'!$67:$67,'Zelfstandigen - Indépendants'!$88:$88</definedName>
    <definedName name="Z_1B70A37E_3070_11D4_9DAD_00C04F913B58_.wvu.Cols" localSheetId="0" hidden="1">'Zelfstandigen - Indépendants'!#REF!,'Zelfstandigen - Indépendants'!$A:$A</definedName>
    <definedName name="Z_1B70A37E_3070_11D4_9DAD_00C04F913B58_.wvu.PrintArea" localSheetId="0" hidden="1">'Zelfstandigen - Indépendants'!$A$1:$E$95</definedName>
    <definedName name="Z_1B70A37E_3070_11D4_9DAD_00C04F913B58_.wvu.Rows" localSheetId="0" hidden="1">'Zelfstandigen - Indépendants'!#REF!,'Zelfstandigen - Indépendants'!#REF!,'Zelfstandigen - Indépendants'!#REF!,'Zelfstandigen - Indépendants'!#REF!,'Zelfstandigen - Indépendants'!#REF!</definedName>
    <definedName name="Z_264BED54_18A2_4AAB_9DF9_C15D3BDBC061_.wvu.Cols" localSheetId="0" hidden="1">'Zelfstandigen - Indépendants'!$A:$A,'Zelfstandigen - Indépendants'!$C:$C</definedName>
    <definedName name="Z_264BED54_18A2_4AAB_9DF9_C15D3BDBC061_.wvu.Rows" localSheetId="0" hidden="1">'Zelfstandigen - Indépendants'!$18:$18</definedName>
    <definedName name="Z_3A1BD482_F6C6_440A_BC66_B6EBEED8DE08_.wvu.Cols" localSheetId="0" hidden="1">'Zelfstandigen - Indépendants'!$B:$C</definedName>
    <definedName name="Z_3A1BD482_F6C6_440A_BC66_B6EBEED8DE08_.wvu.PrintTitles" localSheetId="0" hidden="1">'Zelfstandigen - Indépendants'!$A:$A</definedName>
    <definedName name="Z_3A1BD482_F6C6_440A_BC66_B6EBEED8DE08_.wvu.Rows" localSheetId="0" hidden="1">'Zelfstandigen - Indépendants'!$17:$19</definedName>
    <definedName name="Z_4A3E2074_69B5_49C8_AE30_88A5F9F13AC3_.wvu.Cols" localSheetId="0" hidden="1">'Zelfstandigen - Indépendants'!$B:$C</definedName>
    <definedName name="Z_4A3E2074_69B5_49C8_AE30_88A5F9F13AC3_.wvu.Rows" localSheetId="0" hidden="1">'Zelfstandigen - Indépendants'!$22:$22,'Zelfstandigen - Indépendants'!#REF!,'Zelfstandigen - Indépendants'!#REF!,'Zelfstandigen - Indépendants'!$67:$67,'Zelfstandigen - Indépendants'!$88:$88</definedName>
    <definedName name="Z_55781759_9DD6_4C48_887D_589AF241E39D_.wvu.Cols" localSheetId="0" hidden="1">'Zelfstandigen - Indépendants'!$B:$C</definedName>
    <definedName name="Z_55781759_9DD6_4C48_887D_589AF241E39D_.wvu.PrintTitles" localSheetId="0" hidden="1">'Zelfstandigen - Indépendants'!$A:$A</definedName>
    <definedName name="Z_55781759_9DD6_4C48_887D_589AF241E39D_.wvu.Rows" localSheetId="0" hidden="1">'Zelfstandigen - Indépendants'!$14:$19,'Zelfstandigen - Indépendants'!$55:$56</definedName>
    <definedName name="Z_5E0D1B85_7357_4179_8F74_AAC5CDF329EA_.wvu.Cols" localSheetId="0" hidden="1">'Zelfstandigen - Indépendants'!$B:$C</definedName>
    <definedName name="Z_5E0D1B85_7357_4179_8F74_AAC5CDF329EA_.wvu.PrintTitles" localSheetId="0" hidden="1">'Zelfstandigen - Indépendants'!$A:$A</definedName>
    <definedName name="Z_5E0D1B85_7357_4179_8F74_AAC5CDF329EA_.wvu.Rows" localSheetId="0" hidden="1">'Zelfstandigen - Indépendants'!$17:$19</definedName>
    <definedName name="Z_5E91B2FE_23F2_4D61_9C51_AB74F1CAAD7B_.wvu.Cols" localSheetId="0" hidden="1">'Zelfstandigen - Indépendants'!$A:$A,'Zelfstandigen - Indépendants'!$C:$C</definedName>
    <definedName name="Z_5E91B2FE_23F2_4D61_9C51_AB74F1CAAD7B_.wvu.PrintTitles" localSheetId="0" hidden="1">'Zelfstandigen - Indépendants'!$B:$B</definedName>
    <definedName name="Z_5E91B2FE_23F2_4D61_9C51_AB74F1CAAD7B_.wvu.Rows" localSheetId="0" hidden="1">'Zelfstandigen - Indépendants'!$17:$19</definedName>
    <definedName name="Z_6AD6E9A0_EB1A_4C94_8728_519E134E4922_.wvu.Cols" localSheetId="0" hidden="1">'Zelfstandigen - Indépendants'!$B:$C</definedName>
    <definedName name="Z_6AD6E9A0_EB1A_4C94_8728_519E134E4922_.wvu.PrintTitles" localSheetId="0" hidden="1">'Zelfstandigen - Indépendants'!$A:$A</definedName>
    <definedName name="Z_6AD6E9A0_EB1A_4C94_8728_519E134E4922_.wvu.Rows" localSheetId="0" hidden="1">'Zelfstandigen - Indépendants'!$14:$19,'Zelfstandigen - Indépendants'!$55:$56</definedName>
    <definedName name="Z_72CBA019_1C43_11D5_9E3B_00C04F913B58_.wvu.Cols" localSheetId="0" hidden="1">'Zelfstandigen - Indépendants'!$C:$C</definedName>
    <definedName name="Z_72CBA019_1C43_11D5_9E3B_00C04F913B58_.wvu.PrintArea" localSheetId="0" hidden="1">'Zelfstandigen - Indépendants'!$A$1:$E$95</definedName>
    <definedName name="Z_72CBA019_1C43_11D5_9E3B_00C04F913B58_.wvu.Rows" localSheetId="0" hidden="1">'Zelfstandigen - Indépendants'!#REF!</definedName>
    <definedName name="Z_96213951_B28B_4589_A249_F420C08C93BA_.wvu.Cols" localSheetId="0" hidden="1">'Zelfstandigen - Indépendants'!$A:$A,'Zelfstandigen - Indépendants'!$C:$C</definedName>
    <definedName name="Z_96213951_B28B_4589_A249_F420C08C93BA_.wvu.PrintTitles" localSheetId="0" hidden="1">'Zelfstandigen - Indépendants'!$B:$B</definedName>
    <definedName name="Z_96213951_B28B_4589_A249_F420C08C93BA_.wvu.Rows" localSheetId="0" hidden="1">'Zelfstandigen - Indépendants'!$17:$19</definedName>
    <definedName name="Z_9AD80EF8_4FD1_45D2_B8CB_8A1E48F07BB9_.wvu.Cols" localSheetId="0" hidden="1">'Zelfstandigen - Indépendants'!$A:$A,'Zelfstandigen - Indépendants'!$C:$C</definedName>
    <definedName name="Z_9AD80EF8_4FD1_45D2_B8CB_8A1E48F07BB9_.wvu.Rows" localSheetId="0" hidden="1">'Zelfstandigen - Indépendants'!$18:$18</definedName>
    <definedName name="Z_9F0F10F8_8A4F_47A8_8D31_5F4DD916EF70_.wvu.Cols" localSheetId="0" hidden="1">'Zelfstandigen - Indépendants'!$B:$C</definedName>
    <definedName name="Z_9F0F10F8_8A4F_47A8_8D31_5F4DD916EF70_.wvu.PrintTitles" localSheetId="0" hidden="1">'Zelfstandigen - Indépendants'!$A:$A</definedName>
    <definedName name="Z_9F0F10F8_8A4F_47A8_8D31_5F4DD916EF70_.wvu.Rows" localSheetId="0" hidden="1">'Zelfstandigen - Indépendants'!$17:$19</definedName>
    <definedName name="Z_A2162A5D_9448_4CD2_909B_69E88DFDD5CA_.wvu.Cols" localSheetId="0" hidden="1">'Zelfstandigen - Indépendants'!$B:$C</definedName>
    <definedName name="Z_A2162A5D_9448_4CD2_909B_69E88DFDD5CA_.wvu.PrintArea" localSheetId="0" hidden="1">'Zelfstandigen - Indépendants'!$A$1:$E$94</definedName>
    <definedName name="Z_A2162A5D_9448_4CD2_909B_69E88DFDD5CA_.wvu.Rows" localSheetId="0" hidden="1">'Zelfstandigen - Indépendants'!$22:$22,'Zelfstandigen - Indépendants'!#REF!,'Zelfstandigen - Indépendants'!$67:$67,'Zelfstandigen - Indépendants'!$88:$88</definedName>
    <definedName name="Z_A29940B8_A4C8_11D4_9DE9_00C04F913B58_.wvu.Rows" localSheetId="0" hidden="1">'Zelfstandigen - Indépendants'!#REF!,'Zelfstandigen - Indépendants'!#REF!</definedName>
    <definedName name="Z_A29940C5_A4C8_11D4_9DE9_00C04F913B58_.wvu.Rows" localSheetId="0" hidden="1">'Zelfstandigen - Indépendants'!#REF!,'Zelfstandigen - Indépendants'!#REF!</definedName>
    <definedName name="Z_AFDC97C9_B74F_4DFD_9521_1D85F337F6A6_.wvu.Cols" localSheetId="0" hidden="1">'Zelfstandigen - Indépendants'!$A:$A,'Zelfstandigen - Indépendants'!$C:$C</definedName>
    <definedName name="Z_AFDC97C9_B74F_4DFD_9521_1D85F337F6A6_.wvu.PrintArea" localSheetId="0" hidden="1">'Zelfstandigen - Indépendants'!$A$1:$E$94</definedName>
    <definedName name="Z_AFDC97C9_B74F_4DFD_9521_1D85F337F6A6_.wvu.Rows" localSheetId="0" hidden="1">'Zelfstandigen - Indépendants'!#REF!,'Zelfstandigen - Indépendants'!#REF!,'Zelfstandigen - Indépendants'!#REF!</definedName>
    <definedName name="Z_B3F64095_2A81_4BF7_AE11_D6F60E8F42D0_.wvu.Cols" localSheetId="0" hidden="1">'Zelfstandigen - Indépendants'!$A:$A,'Zelfstandigen - Indépendants'!$C:$C</definedName>
    <definedName name="Z_B3F64095_2A81_4BF7_AE11_D6F60E8F42D0_.wvu.PrintArea" localSheetId="0" hidden="1">'Zelfstandigen - Indépendants'!$A$1:$E$93</definedName>
    <definedName name="Z_B3F64095_2A81_4BF7_AE11_D6F60E8F42D0_.wvu.Rows" localSheetId="0" hidden="1">'Zelfstandigen - Indépendants'!#REF!,'Zelfstandigen - Indépendants'!#REF!,'Zelfstandigen - Indépendants'!#REF!,'Zelfstandigen - Indépendants'!#REF!,'Zelfstandigen - Indépendants'!#REF!,'Zelfstandigen - Indépendants'!#REF!</definedName>
    <definedName name="Z_BE8B3F93_3AA7_11D4_9DB1_00C04F913B58_.wvu.Cols" localSheetId="0" hidden="1">'Zelfstandigen - Indépendants'!#REF!,'Zelfstandigen - Indépendants'!$A:$A</definedName>
    <definedName name="Z_BE8B3F93_3AA7_11D4_9DB1_00C04F913B58_.wvu.PrintArea" localSheetId="0" hidden="1">'Zelfstandigen - Indépendants'!$A$1:$E$95</definedName>
    <definedName name="Z_BE8B3F93_3AA7_11D4_9DB1_00C04F913B58_.wvu.Rows" localSheetId="0" hidden="1">'Zelfstandigen - Indépendants'!#REF!,'Zelfstandigen - Indépendants'!#REF!,'Zelfstandigen - Indépendants'!#REF!,'Zelfstandigen - Indépendants'!#REF!,'Zelfstandigen - Indépendants'!#REF!</definedName>
    <definedName name="Z_C6799B28_3F95_4325_B0DE_589A4510A664_.wvu.Cols" localSheetId="0" hidden="1">'Zelfstandigen - Indépendants'!$A:$A,'Zelfstandigen - Indépendants'!$C:$C</definedName>
    <definedName name="Z_C6799B28_3F95_4325_B0DE_589A4510A664_.wvu.PrintTitles" localSheetId="0" hidden="1">'Zelfstandigen - Indépendants'!$A:$A</definedName>
    <definedName name="Z_C6799B28_3F95_4325_B0DE_589A4510A664_.wvu.Rows" localSheetId="0" hidden="1">'Zelfstandigen - Indépendants'!$14:$19,'Zelfstandigen - Indépendants'!$55:$56</definedName>
    <definedName name="Z_D01A5B13_27D4_11D4_9DA2_00C04F913B58_.wvu.Cols" localSheetId="0" hidden="1">'Zelfstandigen - Indépendants'!$A:$A</definedName>
    <definedName name="Z_D01A5B13_27D4_11D4_9DA2_00C04F913B58_.wvu.PrintArea" localSheetId="0" hidden="1">'Zelfstandigen - Indépendants'!$A$1:$E$95</definedName>
    <definedName name="Z_D01A5B13_27D4_11D4_9DA2_00C04F913B58_.wvu.Rows" localSheetId="0" hidden="1">'Zelfstandigen - Indépendants'!#REF!,'Zelfstandigen - Indépendants'!#REF!,'Zelfstandigen - Indépendants'!#REF!,'Zelfstandigen - Indépendants'!#REF!,'Zelfstandigen - Indépendants'!#REF!</definedName>
    <definedName name="Z_D01A5B15_27D4_11D4_9DA2_00C04F913B58_.wvu.Cols" localSheetId="0" hidden="1">'Zelfstandigen - Indépendants'!$A:$A</definedName>
    <definedName name="Z_D01A5B15_27D4_11D4_9DA2_00C04F913B58_.wvu.PrintArea" localSheetId="0" hidden="1">'Zelfstandigen - Indépendants'!$A$1:$E$95</definedName>
    <definedName name="Z_D01A5B15_27D4_11D4_9DA2_00C04F913B58_.wvu.Rows" localSheetId="0" hidden="1">'Zelfstandigen - Indépendants'!#REF!,'Zelfstandigen - Indépendants'!#REF!,'Zelfstandigen - Indépendants'!#REF!,'Zelfstandigen - Indépendants'!#REF!,'Zelfstandigen - Indépendants'!#REF!</definedName>
    <definedName name="Z_D2DF1F46_DD1C_4E76_A7B0_F3CF809E7D8D_.wvu.Cols" localSheetId="0" hidden="1">'Zelfstandigen - Indépendants'!$B:$C</definedName>
    <definedName name="Z_D2DF1F46_DD1C_4E76_A7B0_F3CF809E7D8D_.wvu.Rows" localSheetId="0" hidden="1">'Zelfstandigen - Indépendants'!$18:$18</definedName>
    <definedName name="Z_D818413A_D948_11D3_9D64_00C04F913B58_.wvu.Cols" localSheetId="0" hidden="1">'Zelfstandigen - Indépendants'!#REF!</definedName>
    <definedName name="Z_D818413A_D948_11D3_9D64_00C04F913B58_.wvu.PrintArea" localSheetId="0" hidden="1">'Zelfstandigen - Indépendants'!$A$1:$E$95</definedName>
    <definedName name="Z_D818413A_D948_11D3_9D64_00C04F913B58_.wvu.Rows" localSheetId="0" hidden="1">'Zelfstandigen - Indépendants'!#REF!,'Zelfstandigen - Indépendants'!#REF!,'Zelfstandigen - Indépendants'!#REF!,'Zelfstandigen - Indépendants'!#REF!</definedName>
    <definedName name="Z_E54571B5_A941_4884_9FDB_8D7DB79F30FD_.wvu.Cols" localSheetId="0" hidden="1">'Zelfstandigen - Indépendants'!$A:$A,'Zelfstandigen - Indépendants'!$C:$C</definedName>
    <definedName name="Z_E54571B5_A941_4884_9FDB_8D7DB79F30FD_.wvu.PrintTitles" localSheetId="0" hidden="1">'Zelfstandigen - Indépendants'!$A:$A</definedName>
    <definedName name="Z_E54571B5_A941_4884_9FDB_8D7DB79F30FD_.wvu.Rows" localSheetId="0" hidden="1">'Zelfstandigen - Indépendants'!$14:$19,'Zelfstandigen - Indépendants'!$55:$56</definedName>
    <definedName name="Z_F4452D0B_C7BC_471C_A6A0_212B6DEC1B71_.wvu.Cols" localSheetId="0" hidden="1">'Zelfstandigen - Indépendants'!$B:$C</definedName>
    <definedName name="Z_F4452D0B_C7BC_471C_A6A0_212B6DEC1B71_.wvu.PrintArea" localSheetId="0" hidden="1">'Zelfstandigen - Indépendants'!$A$1:$E$93</definedName>
    <definedName name="Z_F4452D0B_C7BC_471C_A6A0_212B6DEC1B71_.wvu.Rows" localSheetId="0" hidden="1">'Zelfstandigen - Indépendants'!$22:$22,'Zelfstandigen - Indépendants'!#REF!,'Zelfstandigen - Indépendants'!#REF!,'Zelfstandigen - Indépendants'!#REF!,'Zelfstandigen - Indépendants'!#REF!,'Zelfstandigen - Indépendants'!$67:$67,'Zelfstandigen - Indépendants'!#REF!,'Zelfstandigen - Indépendants'!$88:$88</definedName>
    <definedName name="Z_F87CD123_B47F_11D4_9DF0_00C04F913B58_.wvu.Rows" localSheetId="0" hidden="1">'Zelfstandigen - Indépendants'!#REF!,'Zelfstandigen - Indépendants'!#REF!</definedName>
  </definedNames>
  <calcPr calcId="191028"/>
  <customWorkbookViews>
    <customWorkbookView name="synthese" guid="{B6C272A7-65E1-4176-A2B6-DBC6170CF245}" maximized="1" xWindow="-8" yWindow="-8" windowWidth="1936" windowHeight="1056" activeSheetId="83"/>
    <customWorkbookView name="NL" guid="{6AD6E9A0-EB1A-4C94-8728-519E134E4922}" maximized="1" xWindow="-8" yWindow="-8" windowWidth="1936" windowHeight="1048" activeSheetId="90"/>
    <customWorkbookView name="FR" guid="{E54571B5-A941-4884-9FDB-8D7DB79F30FD}" maximized="1" xWindow="-8" yWindow="-8" windowWidth="1936" windowHeight="1048" activeSheetId="9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60" i="89" l="1"/>
  <c r="AF60" i="89"/>
  <c r="AE62" i="89"/>
  <c r="AF62" i="89"/>
  <c r="AE63" i="89"/>
  <c r="AF63" i="89"/>
  <c r="AF61" i="89"/>
  <c r="AE61" i="89"/>
  <c r="E61" i="89" l="1"/>
  <c r="F61" i="89"/>
  <c r="G61" i="89"/>
  <c r="H61" i="89"/>
  <c r="I61" i="89"/>
  <c r="J61" i="89"/>
  <c r="K61" i="89"/>
  <c r="L61" i="89"/>
  <c r="M61" i="89"/>
  <c r="N61" i="89"/>
  <c r="O61" i="89"/>
  <c r="P61" i="89"/>
  <c r="Q61" i="89"/>
  <c r="R61" i="89"/>
  <c r="S61" i="89"/>
  <c r="T61" i="89"/>
  <c r="U61" i="89"/>
  <c r="V61" i="89"/>
  <c r="W61" i="89"/>
  <c r="X61" i="89"/>
  <c r="Y61" i="89"/>
  <c r="Z61" i="89"/>
  <c r="AA61" i="89"/>
  <c r="AB61" i="89"/>
  <c r="AC61" i="89"/>
  <c r="E62" i="89"/>
  <c r="F62" i="89"/>
  <c r="G62" i="89"/>
  <c r="H62" i="89"/>
  <c r="I62" i="89"/>
  <c r="J62" i="89"/>
  <c r="K62" i="89"/>
  <c r="L62" i="89"/>
  <c r="M62" i="89"/>
  <c r="N62" i="89"/>
  <c r="O62" i="89"/>
  <c r="P62" i="89"/>
  <c r="Q62" i="89"/>
  <c r="R62" i="89"/>
  <c r="S62" i="89"/>
  <c r="T62" i="89"/>
  <c r="U62" i="89"/>
  <c r="V62" i="89"/>
  <c r="W62" i="89"/>
  <c r="X62" i="89"/>
  <c r="Y62" i="89"/>
  <c r="Z62" i="89"/>
  <c r="AA62" i="89"/>
  <c r="AB62" i="89"/>
  <c r="AC62" i="89"/>
  <c r="E63" i="89"/>
  <c r="F63" i="89"/>
  <c r="G63" i="89"/>
  <c r="H63" i="89"/>
  <c r="I63" i="89"/>
  <c r="J63" i="89"/>
  <c r="K63" i="89"/>
  <c r="L63" i="89"/>
  <c r="M63" i="89"/>
  <c r="N63" i="89"/>
  <c r="O63" i="89"/>
  <c r="P63" i="89"/>
  <c r="Q63" i="89"/>
  <c r="R63" i="89"/>
  <c r="S63" i="89"/>
  <c r="T63" i="89"/>
  <c r="U63" i="89"/>
  <c r="V63" i="89"/>
  <c r="W63" i="89"/>
  <c r="X63" i="89"/>
  <c r="Y63" i="89"/>
  <c r="Z63" i="89"/>
  <c r="AA63" i="89"/>
  <c r="AB63" i="89"/>
  <c r="AC63" i="89"/>
  <c r="D62" i="89"/>
  <c r="D63" i="89"/>
  <c r="D61" i="89"/>
  <c r="AD70" i="89"/>
  <c r="AE70" i="89"/>
  <c r="AE71" i="89"/>
  <c r="AE73" i="89"/>
  <c r="AE74" i="89"/>
  <c r="AD71" i="89"/>
  <c r="AD73" i="89"/>
  <c r="AD74" i="89"/>
  <c r="AD25" i="89"/>
  <c r="AD28" i="89"/>
  <c r="AD29" i="89"/>
  <c r="AD24" i="89"/>
  <c r="D58" i="89"/>
  <c r="E64" i="89" l="1"/>
  <c r="F64" i="89"/>
  <c r="G64" i="89"/>
  <c r="H64" i="89"/>
  <c r="I64" i="89"/>
  <c r="J64" i="89"/>
  <c r="K64" i="89"/>
  <c r="L64" i="89"/>
  <c r="M64" i="89"/>
  <c r="N64" i="89"/>
  <c r="O64" i="89"/>
  <c r="P64" i="89"/>
  <c r="Q64" i="89"/>
  <c r="R64" i="89"/>
  <c r="S64" i="89"/>
  <c r="T64" i="89"/>
  <c r="U64" i="89"/>
  <c r="V64" i="89"/>
  <c r="W64" i="89"/>
  <c r="X64" i="89"/>
  <c r="Y64" i="89"/>
  <c r="Z64" i="89"/>
  <c r="AA64" i="89"/>
  <c r="AB64" i="89"/>
  <c r="AC64" i="89"/>
  <c r="D64" i="89"/>
  <c r="E58" i="89"/>
  <c r="F58" i="89"/>
  <c r="G58" i="89"/>
  <c r="H58" i="89"/>
  <c r="I58" i="89"/>
  <c r="J58" i="89"/>
  <c r="K58" i="89"/>
  <c r="L58" i="89"/>
  <c r="M58" i="89"/>
  <c r="N58" i="89"/>
  <c r="O58" i="89"/>
  <c r="P58" i="89"/>
  <c r="Q58" i="89"/>
  <c r="R58" i="89"/>
  <c r="S58" i="89"/>
  <c r="T58" i="89"/>
  <c r="U58" i="89"/>
  <c r="V58" i="89"/>
  <c r="W58" i="89"/>
  <c r="X58" i="89"/>
  <c r="Y58" i="89"/>
  <c r="Z58" i="89"/>
  <c r="AA58" i="89"/>
  <c r="AB58" i="89"/>
  <c r="AC58" i="89"/>
  <c r="D59" i="89"/>
  <c r="AC9" i="89" l="1"/>
  <c r="D2" i="89" l="1"/>
  <c r="E9" i="89"/>
  <c r="F9" i="89"/>
  <c r="G9" i="89"/>
  <c r="H9" i="89"/>
  <c r="I9" i="89"/>
  <c r="J9" i="89"/>
  <c r="K9" i="89"/>
  <c r="L9" i="89"/>
  <c r="M9" i="89"/>
  <c r="N9" i="89"/>
  <c r="O9" i="89"/>
  <c r="P9" i="89"/>
  <c r="Q9" i="89"/>
  <c r="R9" i="89"/>
  <c r="S9" i="89"/>
  <c r="T9" i="89"/>
  <c r="U9" i="89"/>
  <c r="V9" i="89"/>
  <c r="W9" i="89"/>
  <c r="X9" i="89"/>
  <c r="Y9" i="89"/>
  <c r="Z9" i="89"/>
  <c r="AA9" i="89"/>
  <c r="AB9" i="89"/>
  <c r="D9" i="89"/>
  <c r="W10" i="89" l="1"/>
  <c r="W13" i="89"/>
  <c r="W11" i="89"/>
  <c r="W12" i="89"/>
  <c r="G10" i="89"/>
  <c r="G13" i="89"/>
  <c r="G11" i="89"/>
  <c r="G12" i="89"/>
  <c r="H12" i="89"/>
  <c r="H10" i="89"/>
  <c r="H13" i="89"/>
  <c r="H11" i="89"/>
  <c r="V13" i="89"/>
  <c r="V11" i="89"/>
  <c r="V12" i="89"/>
  <c r="V10" i="89"/>
  <c r="F13" i="89"/>
  <c r="F11" i="89"/>
  <c r="F12" i="89"/>
  <c r="F10" i="89"/>
  <c r="U13" i="89"/>
  <c r="U12" i="89"/>
  <c r="U11" i="89"/>
  <c r="U10" i="89"/>
  <c r="E13" i="89"/>
  <c r="E10" i="89"/>
  <c r="E11" i="89"/>
  <c r="E12" i="89"/>
  <c r="T11" i="89"/>
  <c r="T10" i="89"/>
  <c r="T13" i="89"/>
  <c r="T12" i="89"/>
  <c r="S11" i="89"/>
  <c r="S13" i="89"/>
  <c r="S12" i="89"/>
  <c r="S10" i="89"/>
  <c r="R10" i="89"/>
  <c r="R11" i="89"/>
  <c r="R13" i="89"/>
  <c r="R12" i="89"/>
  <c r="Q11" i="89"/>
  <c r="Q13" i="89"/>
  <c r="Q12" i="89"/>
  <c r="Q10" i="89"/>
  <c r="Y10" i="89"/>
  <c r="Y11" i="89"/>
  <c r="Y13" i="89"/>
  <c r="Y12" i="89"/>
  <c r="P13" i="89"/>
  <c r="P12" i="89"/>
  <c r="P10" i="89"/>
  <c r="P11" i="89"/>
  <c r="I11" i="89"/>
  <c r="I10" i="89"/>
  <c r="I13" i="89"/>
  <c r="I12" i="89"/>
  <c r="O13" i="89"/>
  <c r="O11" i="89"/>
  <c r="O12" i="89"/>
  <c r="O10" i="89"/>
  <c r="X13" i="89"/>
  <c r="X10" i="89"/>
  <c r="X11" i="89"/>
  <c r="X12" i="89"/>
  <c r="D12" i="89"/>
  <c r="D13" i="89"/>
  <c r="D10" i="89"/>
  <c r="D11" i="89"/>
  <c r="N12" i="89"/>
  <c r="N13" i="89"/>
  <c r="N10" i="89"/>
  <c r="N11" i="89"/>
  <c r="AC12" i="89"/>
  <c r="AC10" i="89"/>
  <c r="AC11" i="89"/>
  <c r="AC13" i="89"/>
  <c r="M12" i="89"/>
  <c r="M11" i="89"/>
  <c r="M10" i="89"/>
  <c r="M13" i="89"/>
  <c r="AB12" i="89"/>
  <c r="AB10" i="89"/>
  <c r="AB11" i="89"/>
  <c r="AB13" i="89"/>
  <c r="L12" i="89"/>
  <c r="L11" i="89"/>
  <c r="L10" i="89"/>
  <c r="L13" i="89"/>
  <c r="AA12" i="89"/>
  <c r="AA10" i="89"/>
  <c r="AA13" i="89"/>
  <c r="AA11" i="89"/>
  <c r="K12" i="89"/>
  <c r="K10" i="89"/>
  <c r="K13" i="89"/>
  <c r="K11" i="89"/>
  <c r="Z10" i="89"/>
  <c r="Z12" i="89"/>
  <c r="Z11" i="89"/>
  <c r="Z13" i="89"/>
  <c r="J10" i="89"/>
  <c r="J12" i="89"/>
  <c r="J13" i="89"/>
  <c r="J11" i="89"/>
  <c r="H4" i="89" l="1"/>
  <c r="E60" i="89"/>
  <c r="F60" i="89"/>
  <c r="G60" i="89"/>
  <c r="H60" i="89"/>
  <c r="I60" i="89"/>
  <c r="J60" i="89"/>
  <c r="K60" i="89"/>
  <c r="L60" i="89"/>
  <c r="M60" i="89"/>
  <c r="N60" i="89"/>
  <c r="O60" i="89"/>
  <c r="P60" i="89"/>
  <c r="Q60" i="89"/>
  <c r="R60" i="89"/>
  <c r="S60" i="89"/>
  <c r="T60" i="89"/>
  <c r="U60" i="89"/>
  <c r="V60" i="89"/>
  <c r="W60" i="89"/>
  <c r="X60" i="89"/>
  <c r="Y60" i="89"/>
  <c r="Z60" i="89"/>
  <c r="AA60" i="89"/>
  <c r="AB60" i="89"/>
  <c r="AC60" i="89"/>
  <c r="D60" i="89"/>
  <c r="E59" i="89"/>
  <c r="F59" i="89"/>
  <c r="G59" i="89"/>
  <c r="H59" i="89"/>
  <c r="I59" i="89"/>
  <c r="J59" i="89"/>
  <c r="K59" i="89"/>
  <c r="L59" i="89"/>
  <c r="M59" i="89"/>
  <c r="N59" i="89"/>
  <c r="O59" i="89"/>
  <c r="P59" i="89"/>
  <c r="Q59" i="89"/>
  <c r="R59" i="89"/>
  <c r="S59" i="89"/>
  <c r="T59" i="89"/>
  <c r="U59" i="89"/>
  <c r="V59" i="89"/>
  <c r="W59" i="89"/>
  <c r="X59" i="89"/>
  <c r="Y59" i="89"/>
  <c r="Z59" i="89"/>
  <c r="AA59" i="89"/>
  <c r="AB59" i="89"/>
  <c r="AC59" i="89"/>
  <c r="AD30" i="89"/>
  <c r="AD35" i="89"/>
  <c r="D4" i="89"/>
  <c r="D3" i="89"/>
  <c r="E4" i="89" l="1"/>
  <c r="F4" i="89"/>
  <c r="G4" i="89"/>
  <c r="I4" i="89"/>
  <c r="J4" i="89"/>
  <c r="K4" i="89"/>
  <c r="L4" i="89"/>
  <c r="M4" i="89"/>
  <c r="N4" i="89"/>
  <c r="O4" i="89"/>
  <c r="P4" i="89"/>
  <c r="Q4" i="89"/>
  <c r="R4" i="89"/>
  <c r="S4" i="89"/>
  <c r="T4" i="89"/>
  <c r="U4" i="89"/>
  <c r="V4" i="89"/>
  <c r="W4" i="89"/>
  <c r="X4" i="89"/>
  <c r="Y4" i="89"/>
  <c r="Z4" i="89"/>
  <c r="AA4" i="89"/>
  <c r="AB4" i="89"/>
  <c r="AC4" i="89"/>
  <c r="E2" i="89"/>
  <c r="F2" i="89"/>
  <c r="G2" i="89"/>
  <c r="H2" i="89"/>
  <c r="I2" i="89"/>
  <c r="J2" i="89"/>
  <c r="K2" i="89"/>
  <c r="L2" i="89"/>
  <c r="M2" i="89"/>
  <c r="N2" i="89"/>
  <c r="O2" i="89"/>
  <c r="P2" i="89"/>
  <c r="Q2" i="89"/>
  <c r="R2" i="89"/>
  <c r="S2" i="89"/>
  <c r="T2" i="89"/>
  <c r="U2" i="89"/>
  <c r="V2" i="89"/>
  <c r="W2" i="89"/>
  <c r="X2" i="89"/>
  <c r="Y2" i="89"/>
  <c r="Z2" i="89"/>
  <c r="AA2" i="89"/>
  <c r="AB2" i="89"/>
  <c r="AC2" i="89"/>
  <c r="E3" i="89"/>
  <c r="F3" i="89"/>
  <c r="G3" i="89"/>
  <c r="H3" i="89"/>
  <c r="I3" i="89"/>
  <c r="J3" i="89"/>
  <c r="K3" i="89"/>
  <c r="L3" i="89"/>
  <c r="M3" i="89"/>
  <c r="N3" i="89"/>
  <c r="O3" i="89"/>
  <c r="P3" i="89"/>
  <c r="Q3" i="89"/>
  <c r="R3" i="89"/>
  <c r="S3" i="89"/>
  <c r="T3" i="89"/>
  <c r="U3" i="89"/>
  <c r="V3" i="89"/>
  <c r="W3" i="89"/>
  <c r="X3" i="89"/>
  <c r="Y3" i="89"/>
  <c r="Z3" i="89"/>
  <c r="AA3" i="89"/>
  <c r="AB3" i="89"/>
  <c r="AC3" i="89"/>
  <c r="D22" i="89" l="1"/>
  <c r="D88" i="89" s="1"/>
  <c r="E22" i="89"/>
  <c r="E67" i="89" s="1"/>
  <c r="F22" i="89"/>
  <c r="F67" i="89" s="1"/>
  <c r="G22" i="89"/>
  <c r="G67" i="89" s="1"/>
  <c r="H22" i="89"/>
  <c r="H88" i="89" s="1"/>
  <c r="I22" i="89"/>
  <c r="I88" i="89" s="1"/>
  <c r="J22" i="89"/>
  <c r="J88" i="89" s="1"/>
  <c r="K22" i="89"/>
  <c r="K67" i="89" s="1"/>
  <c r="L22" i="89"/>
  <c r="L88" i="89" s="1"/>
  <c r="M22" i="89"/>
  <c r="M88" i="89" s="1"/>
  <c r="N22" i="89"/>
  <c r="N67" i="89" s="1"/>
  <c r="O22" i="89"/>
  <c r="O67" i="89" s="1"/>
  <c r="P22" i="89"/>
  <c r="P88" i="89" s="1"/>
  <c r="Q22" i="89"/>
  <c r="Q88" i="89" s="1"/>
  <c r="R22" i="89"/>
  <c r="R67" i="89" s="1"/>
  <c r="S22" i="89"/>
  <c r="S88" i="89" s="1"/>
  <c r="T22" i="89"/>
  <c r="T88" i="89" s="1"/>
  <c r="U22" i="89"/>
  <c r="U88" i="89" s="1"/>
  <c r="V22" i="89"/>
  <c r="V67" i="89" s="1"/>
  <c r="W22" i="89"/>
  <c r="W67" i="89" s="1"/>
  <c r="X22" i="89"/>
  <c r="X88" i="89" s="1"/>
  <c r="Y22" i="89"/>
  <c r="Y88" i="89" s="1"/>
  <c r="Z22" i="89"/>
  <c r="Z88" i="89" s="1"/>
  <c r="AA22" i="89"/>
  <c r="AA88" i="89" s="1"/>
  <c r="AB22" i="89"/>
  <c r="AB88" i="89" s="1"/>
  <c r="AC22" i="89"/>
  <c r="AC88" i="89" s="1"/>
  <c r="U41" i="89"/>
  <c r="V41" i="89"/>
  <c r="W41" i="89"/>
  <c r="X41" i="89"/>
  <c r="Y41" i="89"/>
  <c r="Z41" i="89"/>
  <c r="AA41" i="89"/>
  <c r="G88" i="89" l="1"/>
  <c r="O88" i="89"/>
  <c r="D67" i="89"/>
  <c r="K88" i="89"/>
  <c r="AB67" i="89"/>
  <c r="AA67" i="89"/>
  <c r="S67" i="89"/>
  <c r="U67" i="89"/>
  <c r="T67" i="89"/>
  <c r="L67" i="89"/>
  <c r="Q67" i="89"/>
  <c r="AC67" i="89"/>
  <c r="H67" i="89"/>
  <c r="W88" i="89"/>
  <c r="Y67" i="89"/>
  <c r="P67" i="89"/>
  <c r="X67" i="89"/>
  <c r="M67" i="89"/>
  <c r="R88" i="89"/>
  <c r="Z67" i="89"/>
  <c r="J67" i="89"/>
  <c r="I67" i="89"/>
  <c r="V88" i="89"/>
  <c r="F88" i="89"/>
  <c r="E88" i="89"/>
  <c r="N88" i="89"/>
</calcChain>
</file>

<file path=xl/sharedStrings.xml><?xml version="1.0" encoding="utf-8"?>
<sst xmlns="http://schemas.openxmlformats.org/spreadsheetml/2006/main" count="735" uniqueCount="223">
  <si>
    <t>Zelfstandigen  -  2000-2025 (duizend euro) (2000-2007: inclusief Geneeskundige verzorging)</t>
  </si>
  <si>
    <t xml:space="preserve">Indépendants  -  2000-2025 (milliers d'euros) (2000-2007: Soins de santé inclus) </t>
  </si>
  <si>
    <t>ZELF</t>
  </si>
  <si>
    <t>duizendEUR</t>
  </si>
  <si>
    <t>GLOBAAL BEHEER</t>
  </si>
  <si>
    <t>ACTUEEL</t>
  </si>
  <si>
    <t>MONITOR_03.2025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</si>
  <si>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</si>
  <si>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</si>
  <si>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</si>
  <si>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</si>
  <si>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</si>
  <si>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</si>
  <si>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</si>
  <si>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</si>
  <si>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</si>
  <si>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</si>
  <si>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</si>
  <si>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</si>
  <si>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</si>
  <si>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</si>
  <si>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</si>
  <si>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</si>
  <si>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</si>
  <si>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</si>
  <si>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</si>
  <si>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</si>
  <si>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</si>
  <si>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</si>
  <si>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</si>
  <si>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</si>
  <si>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</si>
  <si>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</si>
  <si>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 xml:space="preserve">Lopende Ontvangsten </t>
  </si>
  <si>
    <t>Recettes Courantes</t>
  </si>
  <si>
    <t xml:space="preserve">Bijdragen </t>
  </si>
  <si>
    <t xml:space="preserve">Cotisations </t>
  </si>
  <si>
    <t>101</t>
  </si>
  <si>
    <t xml:space="preserve">Gewone bijdragen </t>
  </si>
  <si>
    <t xml:space="preserve">Cotisations ordinaires </t>
  </si>
  <si>
    <t>101.1</t>
  </si>
  <si>
    <t xml:space="preserve">Vennootschapsbijdragen </t>
  </si>
  <si>
    <t xml:space="preserve">Cotisation des sociétés </t>
  </si>
  <si>
    <t>101.5</t>
  </si>
  <si>
    <t xml:space="preserve">Specifieke bijdragen </t>
  </si>
  <si>
    <t xml:space="preserve">Cotisations spécifiques </t>
  </si>
  <si>
    <t>101.2</t>
  </si>
  <si>
    <t>-</t>
  </si>
  <si>
    <t xml:space="preserve">Consolidatiebijdragen </t>
  </si>
  <si>
    <t xml:space="preserve">Cotisation de consolidation </t>
  </si>
  <si>
    <t>101.4</t>
  </si>
  <si>
    <t xml:space="preserve">Publieke mandatarissen (PMP) -bijdragen  </t>
  </si>
  <si>
    <t xml:space="preserve">Cotisation mandataires publics (PMP) </t>
  </si>
  <si>
    <t>101.9 PMP</t>
  </si>
  <si>
    <t xml:space="preserve">Bijdragen op premies 2de pijler  </t>
  </si>
  <si>
    <t xml:space="preserve">Cotisations sur primes deuxième pilier </t>
  </si>
  <si>
    <t>101.11 2dePIJLER</t>
  </si>
  <si>
    <t xml:space="preserve">Toelagen van publieke overheden  </t>
  </si>
  <si>
    <t xml:space="preserve">Subventions des pouvoirs publics </t>
  </si>
  <si>
    <t>102</t>
  </si>
  <si>
    <t xml:space="preserve">Federale overheid </t>
  </si>
  <si>
    <t xml:space="preserve">Pouvoir fédéral </t>
  </si>
  <si>
    <t>102 PF</t>
  </si>
  <si>
    <t xml:space="preserve">Globale staatstoelage </t>
  </si>
  <si>
    <t xml:space="preserve">Dans les prestations </t>
  </si>
  <si>
    <t>SUB.GES.GLOB</t>
  </si>
  <si>
    <t xml:space="preserve">Evenwichtsdotatie </t>
  </si>
  <si>
    <t xml:space="preserve">Dotation d'équilibre </t>
  </si>
  <si>
    <t>102.4</t>
  </si>
  <si>
    <t xml:space="preserve">Gefedereerde entiteiten </t>
  </si>
  <si>
    <t xml:space="preserve">Entités fédérées </t>
  </si>
  <si>
    <t>102 EF</t>
  </si>
  <si>
    <t xml:space="preserve">Alternatieve financiering </t>
  </si>
  <si>
    <t xml:space="preserve">Financement alternatif </t>
  </si>
  <si>
    <t>103</t>
  </si>
  <si>
    <t xml:space="preserve">BTW </t>
  </si>
  <si>
    <t xml:space="preserve">TVA </t>
  </si>
  <si>
    <t>TVA + ART.24§1QUATER</t>
  </si>
  <si>
    <t xml:space="preserve">Ziekenhuizen (PVT inbegrepen) </t>
  </si>
  <si>
    <t xml:space="preserve">Hôpitaux (y compris MSP) </t>
  </si>
  <si>
    <t>INDIRECT</t>
  </si>
  <si>
    <t xml:space="preserve">Fonds bestrijding tabaksgebruik </t>
  </si>
  <si>
    <t xml:space="preserve">Fonds lutte tabagisme </t>
  </si>
  <si>
    <t>TABAGISME</t>
  </si>
  <si>
    <t xml:space="preserve">Inhaalbedragen ziekenhuizen </t>
  </si>
  <si>
    <t xml:space="preserve">Montants de rattrapage hôpitaux </t>
  </si>
  <si>
    <t>ACC.RATT.HOP</t>
  </si>
  <si>
    <t xml:space="preserve">Geneeskundige verzorging </t>
  </si>
  <si>
    <t xml:space="preserve">Soins de santé </t>
  </si>
  <si>
    <t>ART.24§1QUATER</t>
  </si>
  <si>
    <t xml:space="preserve">Basisbedrag (vanaf 2017) </t>
  </si>
  <si>
    <t xml:space="preserve">Montant de base (à partir de 2017) </t>
  </si>
  <si>
    <t>TVA-BASIS</t>
  </si>
  <si>
    <t xml:space="preserve">Taxshift (2017-2020) </t>
  </si>
  <si>
    <t>TVA-TAXSHIFT</t>
  </si>
  <si>
    <t xml:space="preserve">Roerende voorheffing </t>
  </si>
  <si>
    <t xml:space="preserve">Précompte mobilier </t>
  </si>
  <si>
    <t>RV</t>
  </si>
  <si>
    <t xml:space="preserve">Basisbedrag (vanaf 2006) </t>
  </si>
  <si>
    <t xml:space="preserve">Montant de base (à partir de 2006) </t>
  </si>
  <si>
    <t>RV-BASIS</t>
  </si>
  <si>
    <t>RV-TAXSHIFT</t>
  </si>
  <si>
    <t xml:space="preserve">Stock options </t>
  </si>
  <si>
    <t xml:space="preserve">Stock options  </t>
  </si>
  <si>
    <t>STOCK.OPTIONS</t>
  </si>
  <si>
    <t xml:space="preserve">Accijnzen tabak </t>
  </si>
  <si>
    <t xml:space="preserve">Accises tabac </t>
  </si>
  <si>
    <t>RA.ACC.TAB</t>
  </si>
  <si>
    <t xml:space="preserve">Belasting op werknemersparticipatie </t>
  </si>
  <si>
    <t xml:space="preserve">Impôts sur la participation des employés </t>
  </si>
  <si>
    <t>PARTICIP.BEN</t>
  </si>
  <si>
    <t xml:space="preserve">Belasting op verzekeringsverrichtingen </t>
  </si>
  <si>
    <t xml:space="preserve">Taxe sur les opérations d'assurances </t>
  </si>
  <si>
    <t>TAX.ASS</t>
  </si>
  <si>
    <t xml:space="preserve">Personenbelasting en vennootschapsbelasting </t>
  </si>
  <si>
    <t xml:space="preserve">Impôt des personnes physiques et impôt des sociétés </t>
  </si>
  <si>
    <t>IPP&amp;ISOC</t>
  </si>
  <si>
    <t xml:space="preserve">Toegewezen ontvangsten </t>
  </si>
  <si>
    <t xml:space="preserve">Recettes affectées </t>
  </si>
  <si>
    <t>104</t>
  </si>
  <si>
    <t xml:space="preserve">Externe overdrachten </t>
  </si>
  <si>
    <t xml:space="preserve">Transferts externes </t>
  </si>
  <si>
    <t>105</t>
  </si>
  <si>
    <t xml:space="preserve">Opbrengsten beleggingen </t>
  </si>
  <si>
    <t xml:space="preserve">Revenus de placements </t>
  </si>
  <si>
    <t>106</t>
  </si>
  <si>
    <t xml:space="preserve">Diversen </t>
  </si>
  <si>
    <t xml:space="preserve">Divers </t>
  </si>
  <si>
    <t>107</t>
  </si>
  <si>
    <t xml:space="preserve">Sociale fraude </t>
  </si>
  <si>
    <t xml:space="preserve">Fraude sociale </t>
  </si>
  <si>
    <t>109+109.BIS</t>
  </si>
  <si>
    <t xml:space="preserve">EUROPEES RELANCEPLAN </t>
  </si>
  <si>
    <t xml:space="preserve">PLAN DE RELANCE EUROPEEN </t>
  </si>
  <si>
    <t>108 RELANCE.EUROP</t>
  </si>
  <si>
    <t xml:space="preserve">Totaal lopende ontvangsten </t>
  </si>
  <si>
    <t xml:space="preserve">Total recettes courantes </t>
  </si>
  <si>
    <t>100.1</t>
  </si>
  <si>
    <t xml:space="preserve">Zelfstandigen  -  2000-2025 (duizend euro)  (2000-2007: inclusief Geneeskundige verzorging) (vervolg) </t>
  </si>
  <si>
    <t xml:space="preserve">Indépendants  -  2000-2025 (milliers d'euros) (2000-2007: Soins de santé inclus) (suite) </t>
  </si>
  <si>
    <t xml:space="preserve">Lopende Uitgaven </t>
  </si>
  <si>
    <t xml:space="preserve">Dépenses Courantes </t>
  </si>
  <si>
    <t xml:space="preserve">Prestaties </t>
  </si>
  <si>
    <t xml:space="preserve">Prestations </t>
  </si>
  <si>
    <t>111</t>
  </si>
  <si>
    <t>111 GZ</t>
  </si>
  <si>
    <t xml:space="preserve">RIZIV-Uitkeringen </t>
  </si>
  <si>
    <t xml:space="preserve">INAMI-Indemnités </t>
  </si>
  <si>
    <t>111 UI</t>
  </si>
  <si>
    <t xml:space="preserve">RSVZ-Pensioenen </t>
  </si>
  <si>
    <t xml:space="preserve">INASTI-Pensions </t>
  </si>
  <si>
    <t>111 PE</t>
  </si>
  <si>
    <t xml:space="preserve">RSVZ-Gezinsbijslag </t>
  </si>
  <si>
    <t xml:space="preserve">INASTI-Prestations familiales </t>
  </si>
  <si>
    <t>111 KB</t>
  </si>
  <si>
    <t xml:space="preserve">RSVZ-Overbruggingsrecht </t>
  </si>
  <si>
    <t xml:space="preserve">INASTI-Droit passerelle </t>
  </si>
  <si>
    <t>111 FV</t>
  </si>
  <si>
    <t xml:space="preserve">RSVZ-Palliatieve verzorging </t>
  </si>
  <si>
    <t xml:space="preserve">INASTI-Soins palliatifs </t>
  </si>
  <si>
    <t>111 PV</t>
  </si>
  <si>
    <t xml:space="preserve">Welvaartsenveloppe </t>
  </si>
  <si>
    <t xml:space="preserve">Enveloppe bien être </t>
  </si>
  <si>
    <t>118 ONVERD.PREST</t>
  </si>
  <si>
    <t xml:space="preserve">Betalingskosten </t>
  </si>
  <si>
    <t xml:space="preserve">Frais de paiement </t>
  </si>
  <si>
    <t>112</t>
  </si>
  <si>
    <t xml:space="preserve">Beheerskosten </t>
  </si>
  <si>
    <t xml:space="preserve">Frais d'administration </t>
  </si>
  <si>
    <t>113</t>
  </si>
  <si>
    <t>114</t>
  </si>
  <si>
    <t xml:space="preserve">Naar RIZIV-Geneeskundige verzorging </t>
  </si>
  <si>
    <t xml:space="preserve">Vers l'INAMI-Soins de santé </t>
  </si>
  <si>
    <t>114.2 RIZIV.GZ</t>
  </si>
  <si>
    <t xml:space="preserve">Naar andere stelsels </t>
  </si>
  <si>
    <t xml:space="preserve">Vers d'autres régimes </t>
  </si>
  <si>
    <t>114.0 ANDERE_STELSEL - RIZIV</t>
  </si>
  <si>
    <t xml:space="preserve">Andere </t>
  </si>
  <si>
    <t xml:space="preserve">Autres </t>
  </si>
  <si>
    <t>114.1 ANDERE</t>
  </si>
  <si>
    <t xml:space="preserve">Intresten op leningen </t>
  </si>
  <si>
    <t xml:space="preserve">Intérêts sur emprunts </t>
  </si>
  <si>
    <t>115</t>
  </si>
  <si>
    <t>116</t>
  </si>
  <si>
    <t xml:space="preserve">Totaal lopende uitgaven </t>
  </si>
  <si>
    <t xml:space="preserve">Total dépenses courantes </t>
  </si>
  <si>
    <t>110.1</t>
  </si>
  <si>
    <t xml:space="preserve">Saldo lopende rekeningen </t>
  </si>
  <si>
    <t xml:space="preserve">Solde comptes courants </t>
  </si>
  <si>
    <t>120</t>
  </si>
  <si>
    <t xml:space="preserve">Kapitaalrekeningen </t>
  </si>
  <si>
    <t xml:space="preserve">Comptes de Capital </t>
  </si>
  <si>
    <t xml:space="preserve">Ontvangsten </t>
  </si>
  <si>
    <t xml:space="preserve">Recettes </t>
  </si>
  <si>
    <t>200</t>
  </si>
  <si>
    <t xml:space="preserve">Uitgaven </t>
  </si>
  <si>
    <t xml:space="preserve">Dépenses </t>
  </si>
  <si>
    <t>210</t>
  </si>
  <si>
    <t xml:space="preserve">Saldo kapitaalrekeningen </t>
  </si>
  <si>
    <t xml:space="preserve">Solde comptes de capital </t>
  </si>
  <si>
    <t>220</t>
  </si>
  <si>
    <t xml:space="preserve">Resultaat </t>
  </si>
  <si>
    <t xml:space="preserve">Résultat </t>
  </si>
  <si>
    <t>320</t>
  </si>
  <si>
    <t>bijdragen / prestaties</t>
  </si>
  <si>
    <t>bijdragen / prestaties (incl. overdrachten riziv)</t>
  </si>
  <si>
    <t>Zelfstandigen: bijdragen / uitgaven</t>
  </si>
  <si>
    <t>Werknemers: bijdragen / uitgaven</t>
  </si>
  <si>
    <t>Staatstoelage</t>
  </si>
  <si>
    <t>Alternatieve financiering</t>
  </si>
  <si>
    <t>Zelfstandigen</t>
  </si>
  <si>
    <t>Werknemers</t>
  </si>
  <si>
    <t>Bedragen aangepast voor inflatie (o.b.v. CPI (2013=100) &amp; herwaardering naar factor 2025)</t>
  </si>
  <si>
    <t>CPI (2013=100) (bron: Statbel: https://statbel.fgov.be/nl/themas/consumptieprijsindex/consumptieprijsindex#figures --&gt; Excel: Consumptieprijsindex vanaf 1920 en gezondheidsindex vanaf 1994)</t>
  </si>
  <si>
    <t>Herwaardering naar factor 2025 ("huidige koopkracht")</t>
  </si>
  <si>
    <t>Zelfstandigen: Reële uitgaven</t>
  </si>
  <si>
    <t>Zelfstandigen: Reële bijdragen</t>
  </si>
  <si>
    <t>Zelfstandigen: Reële prestaties</t>
  </si>
  <si>
    <t>Zelfstandigen: Reële overdrachten riziv</t>
  </si>
  <si>
    <t>Bijdragen</t>
  </si>
  <si>
    <t>Overige financiering</t>
  </si>
  <si>
    <t>Andere uit alternatieve financiering</t>
  </si>
  <si>
    <t>2000-2024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</si>
</sst>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&quot;€&quot;_-;\-* #,##0.00\ &quot;€&quot;_-;_-* &quot;-&quot;??\ &quot;€&quot;_-;_-@_-"/>
    <numFmt numFmtId="165" formatCode="#,##0_)"/>
    <numFmt numFmtId="166" formatCode="0.0"/>
    <numFmt numFmtId="167" formatCode="0.0%"/>
  </numFmts>
  <fonts count="42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2"/>
      <name val="Courier"/>
      <family val="3"/>
    </font>
    <font>
      <b/>
      <sz val="11"/>
      <color indexed="63"/>
      <name val="Calibri"/>
      <family val="2"/>
    </font>
    <font>
      <sz val="10"/>
      <color rgb="FF333399"/>
      <name val="Arial"/>
      <family val="2"/>
    </font>
    <font>
      <b/>
      <sz val="10"/>
      <color rgb="FF333399"/>
      <name val="Arial"/>
      <family val="2"/>
    </font>
    <font>
      <b/>
      <sz val="10"/>
      <color rgb="FFFF0000"/>
      <name val="Arial"/>
      <family val="2"/>
    </font>
    <font>
      <b/>
      <u/>
      <sz val="10"/>
      <color rgb="FF333399"/>
      <name val="Arial"/>
      <family val="2"/>
    </font>
    <font>
      <sz val="10"/>
      <color rgb="FFFF0000"/>
      <name val="Arial"/>
      <family val="2"/>
    </font>
    <font>
      <b/>
      <sz val="12"/>
      <color rgb="FF333399"/>
      <name val="Arial"/>
      <family val="2"/>
    </font>
    <font>
      <b/>
      <i/>
      <sz val="11"/>
      <color rgb="FFFF0000"/>
      <name val="Arial"/>
      <family val="2"/>
    </font>
    <font>
      <b/>
      <i/>
      <sz val="14"/>
      <color rgb="FF333399"/>
      <name val="Arial"/>
      <family val="2"/>
    </font>
    <font>
      <sz val="14"/>
      <color rgb="FF333399"/>
      <name val="Arial"/>
      <family val="2"/>
    </font>
    <font>
      <b/>
      <i/>
      <sz val="9"/>
      <color rgb="FF333399"/>
      <name val="Arial"/>
      <family val="2"/>
    </font>
    <font>
      <b/>
      <i/>
      <sz val="9"/>
      <color rgb="FFFF0000"/>
      <name val="Arial"/>
      <family val="2"/>
    </font>
    <font>
      <sz val="9"/>
      <color rgb="FF333399"/>
      <name val="Arial"/>
      <family val="2"/>
    </font>
    <font>
      <b/>
      <i/>
      <sz val="11"/>
      <color rgb="FF333399"/>
      <name val="Arial"/>
      <family val="2"/>
    </font>
    <font>
      <b/>
      <i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333399"/>
      <name val="Arial"/>
      <family val="2"/>
    </font>
    <font>
      <sz val="9"/>
      <color rgb="FFFF0000"/>
      <name val="Arial"/>
      <family val="2"/>
    </font>
    <font>
      <b/>
      <u/>
      <sz val="9"/>
      <color rgb="FF333399"/>
      <name val="Arial"/>
      <family val="2"/>
    </font>
    <font>
      <b/>
      <i/>
      <sz val="14"/>
      <color rgb="FFFF0000"/>
      <name val="Arial"/>
      <family val="2"/>
    </font>
    <font>
      <i/>
      <sz val="10"/>
      <color rgb="FF800080"/>
      <name val="Arial"/>
      <family val="2"/>
    </font>
    <font>
      <i/>
      <sz val="9"/>
      <color rgb="FF800080"/>
      <name val="Arial"/>
      <family val="2"/>
    </font>
    <font>
      <sz val="10"/>
      <color rgb="FF800080"/>
      <name val="Arial"/>
      <family val="2"/>
    </font>
    <font>
      <sz val="10"/>
      <name val="Arial"/>
      <family val="2"/>
    </font>
    <font>
      <b/>
      <i/>
      <sz val="10"/>
      <color rgb="FF333399"/>
      <name val="Arial"/>
      <family val="2"/>
    </font>
    <font>
      <b/>
      <i/>
      <sz val="10"/>
      <color rgb="FFFF0000"/>
      <name val="Arial"/>
      <family val="2"/>
    </font>
    <font>
      <i/>
      <sz val="9"/>
      <color rgb="FF333399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6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0" borderId="2" applyNumberFormat="0" applyFill="0" applyAlignment="0" applyProtection="0"/>
    <xf numFmtId="0" fontId="8" fillId="21" borderId="3" applyNumberFormat="0" applyAlignment="0" applyProtection="0"/>
    <xf numFmtId="0" fontId="1" fillId="22" borderId="4" applyNumberFormat="0" applyFont="0" applyAlignment="0" applyProtection="0"/>
    <xf numFmtId="0" fontId="9" fillId="7" borderId="1" applyNumberFormat="0" applyAlignment="0" applyProtection="0"/>
    <xf numFmtId="164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3" fillId="0" borderId="0" applyNumberFormat="0" applyFill="0" applyBorder="0" applyAlignment="0" applyProtection="0"/>
    <xf numFmtId="0" fontId="9" fillId="7" borderId="1" applyNumberFormat="0" applyAlignment="0" applyProtection="0"/>
    <xf numFmtId="0" fontId="6" fillId="3" borderId="0" applyNumberFormat="0" applyBorder="0" applyAlignment="0" applyProtection="0"/>
    <xf numFmtId="0" fontId="9" fillId="7" borderId="1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14" fillId="22" borderId="4" applyNumberFormat="0" applyFont="0" applyAlignment="0" applyProtection="0"/>
    <xf numFmtId="0" fontId="1" fillId="22" borderId="4" applyNumberFormat="0" applyFont="0" applyAlignment="0" applyProtection="0"/>
    <xf numFmtId="0" fontId="6" fillId="3" borderId="0" applyNumberFormat="0" applyBorder="0" applyAlignment="0" applyProtection="0"/>
    <xf numFmtId="0" fontId="15" fillId="20" borderId="8" applyNumberFormat="0" applyAlignment="0" applyProtection="0"/>
    <xf numFmtId="0" fontId="15" fillId="20" borderId="8" applyNumberFormat="0" applyAlignment="0" applyProtection="0"/>
    <xf numFmtId="0" fontId="2" fillId="0" borderId="0"/>
    <xf numFmtId="0" fontId="10" fillId="0" borderId="0" applyNumberFormat="0" applyFill="0" applyBorder="0" applyAlignment="0" applyProtection="0"/>
    <xf numFmtId="0" fontId="15" fillId="20" borderId="8" applyNumberFormat="0" applyAlignment="0" applyProtection="0"/>
    <xf numFmtId="0" fontId="10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38" fillId="0" borderId="0" applyFont="0" applyFill="0" applyBorder="0" applyAlignment="0" applyProtection="0"/>
  </cellStyleXfs>
  <cellXfs count="123">
    <xf numFmtId="0" fontId="0" fillId="0" borderId="0" xfId="0"/>
    <xf numFmtId="0" fontId="21" fillId="0" borderId="0" xfId="61" quotePrefix="1" applyFont="1" applyAlignment="1">
      <alignment horizontal="left" indent="1"/>
    </xf>
    <xf numFmtId="0" fontId="22" fillId="0" borderId="0" xfId="61" applyFont="1" applyAlignment="1">
      <alignment vertical="center"/>
    </xf>
    <xf numFmtId="0" fontId="23" fillId="0" borderId="0" xfId="61" applyFont="1" applyAlignment="1">
      <alignment horizontal="center" vertical="top"/>
    </xf>
    <xf numFmtId="165" fontId="23" fillId="0" borderId="0" xfId="61" applyNumberFormat="1" applyFont="1" applyAlignment="1">
      <alignment horizontal="center" vertical="top"/>
    </xf>
    <xf numFmtId="0" fontId="16" fillId="0" borderId="0" xfId="62" applyFont="1"/>
    <xf numFmtId="0" fontId="24" fillId="0" borderId="0" xfId="61" applyFont="1" applyAlignment="1">
      <alignment vertical="top"/>
    </xf>
    <xf numFmtId="0" fontId="25" fillId="0" borderId="0" xfId="61" applyFont="1" applyAlignment="1">
      <alignment vertical="center"/>
    </xf>
    <xf numFmtId="0" fontId="25" fillId="0" borderId="0" xfId="61" applyFont="1" applyAlignment="1">
      <alignment horizontal="right" vertical="center"/>
    </xf>
    <xf numFmtId="0" fontId="26" fillId="0" borderId="0" xfId="61" applyFont="1" applyAlignment="1">
      <alignment vertical="center"/>
    </xf>
    <xf numFmtId="165" fontId="25" fillId="0" borderId="0" xfId="61" applyNumberFormat="1" applyFont="1" applyAlignment="1">
      <alignment horizontal="center" vertical="top"/>
    </xf>
    <xf numFmtId="165" fontId="25" fillId="23" borderId="0" xfId="61" applyNumberFormat="1" applyFont="1" applyFill="1" applyAlignment="1">
      <alignment horizontal="center" vertical="top"/>
    </xf>
    <xf numFmtId="0" fontId="27" fillId="0" borderId="0" xfId="62" applyFont="1"/>
    <xf numFmtId="0" fontId="27" fillId="0" borderId="0" xfId="61" applyFont="1" applyAlignment="1">
      <alignment vertical="top"/>
    </xf>
    <xf numFmtId="0" fontId="20" fillId="0" borderId="0" xfId="61" applyFont="1" applyAlignment="1">
      <alignment horizontal="left" indent="1"/>
    </xf>
    <xf numFmtId="0" fontId="20" fillId="0" borderId="0" xfId="61" applyFont="1"/>
    <xf numFmtId="0" fontId="20" fillId="0" borderId="0" xfId="61" quotePrefix="1" applyFont="1"/>
    <xf numFmtId="0" fontId="20" fillId="0" borderId="0" xfId="62" applyFont="1"/>
    <xf numFmtId="0" fontId="28" fillId="0" borderId="20" xfId="61" quotePrefix="1" applyFont="1" applyBorder="1" applyAlignment="1">
      <alignment horizontal="left" vertical="center" indent="1"/>
    </xf>
    <xf numFmtId="0" fontId="29" fillId="0" borderId="13" xfId="61" applyFont="1" applyBorder="1" applyAlignment="1">
      <alignment vertical="center"/>
    </xf>
    <xf numFmtId="0" fontId="17" fillId="0" borderId="14" xfId="61" quotePrefix="1" applyFont="1" applyBorder="1" applyAlignment="1">
      <alignment horizontal="center" vertical="center"/>
    </xf>
    <xf numFmtId="0" fontId="16" fillId="0" borderId="0" xfId="61" applyFont="1" applyAlignment="1">
      <alignment vertical="center"/>
    </xf>
    <xf numFmtId="166" fontId="17" fillId="0" borderId="21" xfId="61" quotePrefix="1" applyNumberFormat="1" applyFont="1" applyBorder="1" applyAlignment="1">
      <alignment horizontal="left" indent="1"/>
    </xf>
    <xf numFmtId="0" fontId="30" fillId="0" borderId="11" xfId="61" quotePrefix="1" applyFont="1" applyBorder="1"/>
    <xf numFmtId="165" fontId="17" fillId="0" borderId="11" xfId="61" applyNumberFormat="1" applyFont="1" applyBorder="1" applyAlignment="1">
      <alignment horizontal="right"/>
    </xf>
    <xf numFmtId="0" fontId="17" fillId="0" borderId="0" xfId="62" applyFont="1"/>
    <xf numFmtId="0" fontId="31" fillId="0" borderId="0" xfId="61" applyFont="1"/>
    <xf numFmtId="166" fontId="16" fillId="0" borderId="10" xfId="61" quotePrefix="1" applyNumberFormat="1" applyFont="1" applyBorder="1" applyAlignment="1">
      <alignment horizontal="left" indent="2"/>
    </xf>
    <xf numFmtId="0" fontId="32" fillId="0" borderId="0" xfId="61" quotePrefix="1" applyFont="1"/>
    <xf numFmtId="165" fontId="16" fillId="0" borderId="0" xfId="61" applyNumberFormat="1" applyFont="1" applyAlignment="1">
      <alignment horizontal="right"/>
    </xf>
    <xf numFmtId="0" fontId="27" fillId="0" borderId="0" xfId="61" applyFont="1"/>
    <xf numFmtId="166" fontId="17" fillId="0" borderId="10" xfId="61" quotePrefix="1" applyNumberFormat="1" applyFont="1" applyBorder="1" applyAlignment="1">
      <alignment horizontal="left" indent="1"/>
    </xf>
    <xf numFmtId="0" fontId="30" fillId="0" borderId="0" xfId="61" quotePrefix="1" applyFont="1"/>
    <xf numFmtId="165" fontId="17" fillId="0" borderId="0" xfId="61" applyNumberFormat="1" applyFont="1" applyAlignment="1">
      <alignment horizontal="right"/>
    </xf>
    <xf numFmtId="165" fontId="17" fillId="23" borderId="0" xfId="61" applyNumberFormat="1" applyFont="1" applyFill="1" applyAlignment="1">
      <alignment horizontal="right"/>
    </xf>
    <xf numFmtId="165" fontId="16" fillId="23" borderId="0" xfId="61" applyNumberFormat="1" applyFont="1" applyFill="1" applyAlignment="1">
      <alignment horizontal="right"/>
    </xf>
    <xf numFmtId="166" fontId="17" fillId="0" borderId="10" xfId="61" quotePrefix="1" applyNumberFormat="1" applyFont="1" applyBorder="1" applyAlignment="1">
      <alignment horizontal="left" vertical="center" indent="1"/>
    </xf>
    <xf numFmtId="0" fontId="30" fillId="0" borderId="0" xfId="61" quotePrefix="1" applyFont="1" applyAlignment="1">
      <alignment vertical="center"/>
    </xf>
    <xf numFmtId="165" fontId="17" fillId="0" borderId="0" xfId="61" applyNumberFormat="1" applyFont="1" applyAlignment="1">
      <alignment horizontal="right" vertical="center"/>
    </xf>
    <xf numFmtId="0" fontId="17" fillId="0" borderId="0" xfId="62" applyFont="1" applyAlignment="1">
      <alignment vertical="center"/>
    </xf>
    <xf numFmtId="0" fontId="31" fillId="0" borderId="0" xfId="61" applyFont="1" applyAlignment="1">
      <alignment vertical="center"/>
    </xf>
    <xf numFmtId="166" fontId="17" fillId="0" borderId="15" xfId="61" quotePrefix="1" applyNumberFormat="1" applyFont="1" applyBorder="1" applyAlignment="1">
      <alignment horizontal="left" vertical="center" indent="1"/>
    </xf>
    <xf numFmtId="0" fontId="30" fillId="0" borderId="16" xfId="61" quotePrefix="1" applyFont="1" applyBorder="1" applyAlignment="1">
      <alignment vertical="center"/>
    </xf>
    <xf numFmtId="165" fontId="17" fillId="0" borderId="16" xfId="61" applyNumberFormat="1" applyFont="1" applyBorder="1" applyAlignment="1">
      <alignment horizontal="right" vertical="center"/>
    </xf>
    <xf numFmtId="0" fontId="16" fillId="0" borderId="0" xfId="62" applyFont="1" applyAlignment="1">
      <alignment vertical="center"/>
    </xf>
    <xf numFmtId="166" fontId="27" fillId="0" borderId="0" xfId="61" quotePrefix="1" applyNumberFormat="1" applyFont="1" applyAlignment="1">
      <alignment horizontal="left" vertical="center" indent="1"/>
    </xf>
    <xf numFmtId="0" fontId="27" fillId="0" borderId="0" xfId="61" applyFont="1" applyAlignment="1">
      <alignment vertical="center"/>
    </xf>
    <xf numFmtId="0" fontId="32" fillId="0" borderId="0" xfId="61" applyFont="1" applyAlignment="1">
      <alignment vertical="center"/>
    </xf>
    <xf numFmtId="0" fontId="34" fillId="0" borderId="0" xfId="61" applyFont="1" applyAlignment="1">
      <alignment vertical="center"/>
    </xf>
    <xf numFmtId="0" fontId="24" fillId="0" borderId="0" xfId="62" applyFont="1"/>
    <xf numFmtId="0" fontId="28" fillId="0" borderId="19" xfId="61" applyFont="1" applyBorder="1" applyAlignment="1">
      <alignment vertical="center"/>
    </xf>
    <xf numFmtId="0" fontId="28" fillId="0" borderId="19" xfId="61" applyFont="1" applyBorder="1" applyAlignment="1">
      <alignment horizontal="right" vertical="center"/>
    </xf>
    <xf numFmtId="0" fontId="22" fillId="0" borderId="19" xfId="61" applyFont="1" applyBorder="1" applyAlignment="1">
      <alignment vertical="center"/>
    </xf>
    <xf numFmtId="0" fontId="29" fillId="0" borderId="14" xfId="61" applyFont="1" applyBorder="1" applyAlignment="1">
      <alignment vertical="center"/>
    </xf>
    <xf numFmtId="166" fontId="17" fillId="0" borderId="0" xfId="61" applyNumberFormat="1" applyFont="1" applyAlignment="1">
      <alignment horizontal="left" vertical="center" indent="1"/>
    </xf>
    <xf numFmtId="0" fontId="18" fillId="0" borderId="0" xfId="61" applyFont="1" applyAlignment="1">
      <alignment vertical="center"/>
    </xf>
    <xf numFmtId="165" fontId="17" fillId="0" borderId="0" xfId="61" quotePrefix="1" applyNumberFormat="1" applyFont="1" applyAlignment="1">
      <alignment horizontal="right" vertical="center"/>
    </xf>
    <xf numFmtId="166" fontId="17" fillId="0" borderId="17" xfId="61" quotePrefix="1" applyNumberFormat="1" applyFont="1" applyBorder="1" applyAlignment="1">
      <alignment horizontal="left" vertical="center" indent="1"/>
    </xf>
    <xf numFmtId="0" fontId="30" fillId="0" borderId="18" xfId="61" quotePrefix="1" applyFont="1" applyBorder="1" applyAlignment="1">
      <alignment vertical="center"/>
    </xf>
    <xf numFmtId="165" fontId="17" fillId="0" borderId="18" xfId="61" applyNumberFormat="1" applyFont="1" applyBorder="1" applyAlignment="1">
      <alignment horizontal="right" vertical="center"/>
    </xf>
    <xf numFmtId="166" fontId="17" fillId="0" borderId="18" xfId="61" applyNumberFormat="1" applyFont="1" applyBorder="1" applyAlignment="1">
      <alignment horizontal="left" vertical="center" indent="1"/>
    </xf>
    <xf numFmtId="0" fontId="16" fillId="0" borderId="18" xfId="61" applyFont="1" applyBorder="1" applyAlignment="1">
      <alignment horizontal="left" vertical="center" indent="1"/>
    </xf>
    <xf numFmtId="0" fontId="20" fillId="0" borderId="18" xfId="61" applyFont="1" applyBorder="1" applyAlignment="1">
      <alignment vertical="center"/>
    </xf>
    <xf numFmtId="165" fontId="19" fillId="0" borderId="18" xfId="61" quotePrefix="1" applyNumberFormat="1" applyFont="1" applyBorder="1" applyAlignment="1">
      <alignment horizontal="right" vertical="center"/>
    </xf>
    <xf numFmtId="0" fontId="17" fillId="0" borderId="10" xfId="61" quotePrefix="1" applyFont="1" applyBorder="1" applyAlignment="1">
      <alignment horizontal="left" indent="1"/>
    </xf>
    <xf numFmtId="0" fontId="18" fillId="0" borderId="9" xfId="61" quotePrefix="1" applyFont="1" applyBorder="1"/>
    <xf numFmtId="165" fontId="17" fillId="0" borderId="0" xfId="61" applyNumberFormat="1" applyFont="1"/>
    <xf numFmtId="0" fontId="17" fillId="0" borderId="10" xfId="61" quotePrefix="1" applyFont="1" applyBorder="1" applyAlignment="1">
      <alignment horizontal="left" vertical="center" indent="1"/>
    </xf>
    <xf numFmtId="0" fontId="18" fillId="0" borderId="9" xfId="61" quotePrefix="1" applyFont="1" applyBorder="1" applyAlignment="1">
      <alignment vertical="center"/>
    </xf>
    <xf numFmtId="165" fontId="17" fillId="0" borderId="0" xfId="61" applyNumberFormat="1" applyFont="1" applyAlignment="1">
      <alignment vertical="center"/>
    </xf>
    <xf numFmtId="0" fontId="17" fillId="0" borderId="17" xfId="61" quotePrefix="1" applyFont="1" applyBorder="1" applyAlignment="1">
      <alignment horizontal="left" vertical="center" wrapText="1" indent="1"/>
    </xf>
    <xf numFmtId="0" fontId="18" fillId="0" borderId="12" xfId="61" quotePrefix="1" applyFont="1" applyBorder="1" applyAlignment="1">
      <alignment vertical="center"/>
    </xf>
    <xf numFmtId="165" fontId="17" fillId="0" borderId="18" xfId="61" applyNumberFormat="1" applyFont="1" applyBorder="1" applyAlignment="1">
      <alignment vertical="center"/>
    </xf>
    <xf numFmtId="0" fontId="16" fillId="0" borderId="0" xfId="61" applyFont="1" applyAlignment="1">
      <alignment horizontal="left" indent="1"/>
    </xf>
    <xf numFmtId="0" fontId="16" fillId="0" borderId="0" xfId="61" applyFont="1"/>
    <xf numFmtId="0" fontId="17" fillId="0" borderId="17" xfId="61" quotePrefix="1" applyFont="1" applyBorder="1" applyAlignment="1">
      <alignment horizontal="left" vertical="center" indent="1"/>
    </xf>
    <xf numFmtId="165" fontId="16" fillId="0" borderId="0" xfId="62" applyNumberFormat="1" applyFont="1"/>
    <xf numFmtId="166" fontId="16" fillId="0" borderId="9" xfId="61" quotePrefix="1" applyNumberFormat="1" applyFont="1" applyBorder="1" applyAlignment="1">
      <alignment horizontal="left" indent="2"/>
    </xf>
    <xf numFmtId="0" fontId="32" fillId="0" borderId="22" xfId="61" quotePrefix="1" applyFont="1" applyBorder="1"/>
    <xf numFmtId="0" fontId="35" fillId="24" borderId="0" xfId="0" applyFont="1" applyFill="1"/>
    <xf numFmtId="166" fontId="35" fillId="0" borderId="10" xfId="61" quotePrefix="1" applyNumberFormat="1" applyFont="1" applyBorder="1" applyAlignment="1">
      <alignment horizontal="left" indent="3"/>
    </xf>
    <xf numFmtId="0" fontId="36" fillId="0" borderId="0" xfId="61" quotePrefix="1" applyFont="1"/>
    <xf numFmtId="165" fontId="35" fillId="0" borderId="0" xfId="61" applyNumberFormat="1" applyFont="1" applyAlignment="1">
      <alignment horizontal="right"/>
    </xf>
    <xf numFmtId="0" fontId="35" fillId="0" borderId="0" xfId="62" applyFont="1"/>
    <xf numFmtId="0" fontId="36" fillId="0" borderId="0" xfId="61" applyFont="1"/>
    <xf numFmtId="166" fontId="35" fillId="24" borderId="10" xfId="63" quotePrefix="1" applyNumberFormat="1" applyFont="1" applyFill="1" applyBorder="1" applyAlignment="1">
      <alignment horizontal="left" indent="3"/>
    </xf>
    <xf numFmtId="166" fontId="35" fillId="24" borderId="9" xfId="63" quotePrefix="1" applyNumberFormat="1" applyFont="1" applyFill="1" applyBorder="1" applyAlignment="1">
      <alignment horizontal="left" indent="3"/>
    </xf>
    <xf numFmtId="165" fontId="35" fillId="23" borderId="0" xfId="61" applyNumberFormat="1" applyFont="1" applyFill="1" applyAlignment="1">
      <alignment horizontal="right"/>
    </xf>
    <xf numFmtId="0" fontId="37" fillId="24" borderId="22" xfId="61" quotePrefix="1" applyFont="1" applyFill="1" applyBorder="1"/>
    <xf numFmtId="0" fontId="36" fillId="24" borderId="0" xfId="63" quotePrefix="1" applyFont="1" applyFill="1"/>
    <xf numFmtId="165" fontId="35" fillId="24" borderId="0" xfId="63" applyNumberFormat="1" applyFont="1" applyFill="1" applyAlignment="1">
      <alignment horizontal="right"/>
    </xf>
    <xf numFmtId="0" fontId="36" fillId="24" borderId="0" xfId="63" applyFont="1" applyFill="1"/>
    <xf numFmtId="165" fontId="35" fillId="24" borderId="0" xfId="63" applyNumberFormat="1" applyFont="1" applyFill="1"/>
    <xf numFmtId="165" fontId="37" fillId="24" borderId="0" xfId="0" applyNumberFormat="1" applyFont="1" applyFill="1"/>
    <xf numFmtId="3" fontId="35" fillId="24" borderId="0" xfId="0" applyNumberFormat="1" applyFont="1" applyFill="1"/>
    <xf numFmtId="165" fontId="35" fillId="24" borderId="0" xfId="0" applyNumberFormat="1" applyFont="1" applyFill="1"/>
    <xf numFmtId="165" fontId="23" fillId="0" borderId="19" xfId="61" applyNumberFormat="1" applyFont="1" applyBorder="1" applyAlignment="1">
      <alignment horizontal="center" vertical="top"/>
    </xf>
    <xf numFmtId="49" fontId="32" fillId="0" borderId="0" xfId="61" quotePrefix="1" applyNumberFormat="1" applyFont="1"/>
    <xf numFmtId="165" fontId="35" fillId="0" borderId="0" xfId="63" applyNumberFormat="1" applyFont="1" applyAlignment="1">
      <alignment horizontal="right"/>
    </xf>
    <xf numFmtId="9" fontId="23" fillId="0" borderId="0" xfId="64" applyFont="1" applyAlignment="1">
      <alignment horizontal="center" vertical="top"/>
    </xf>
    <xf numFmtId="167" fontId="17" fillId="0" borderId="0" xfId="64" applyNumberFormat="1" applyFont="1"/>
    <xf numFmtId="167" fontId="16" fillId="0" borderId="0" xfId="64" applyNumberFormat="1" applyFont="1"/>
    <xf numFmtId="167" fontId="27" fillId="0" borderId="0" xfId="64" applyNumberFormat="1" applyFont="1"/>
    <xf numFmtId="167" fontId="35" fillId="0" borderId="0" xfId="64" applyNumberFormat="1" applyFont="1"/>
    <xf numFmtId="9" fontId="33" fillId="0" borderId="0" xfId="64" quotePrefix="1" applyFont="1" applyAlignment="1">
      <alignment horizontal="right" vertical="center"/>
    </xf>
    <xf numFmtId="0" fontId="23" fillId="0" borderId="0" xfId="61" applyFont="1" applyAlignment="1">
      <alignment horizontal="left" vertical="top"/>
    </xf>
    <xf numFmtId="0" fontId="39" fillId="0" borderId="0" xfId="62" applyFont="1" applyAlignment="1">
      <alignment horizontal="left"/>
    </xf>
    <xf numFmtId="0" fontId="39" fillId="0" borderId="0" xfId="61" quotePrefix="1" applyFont="1" applyAlignment="1">
      <alignment horizontal="left"/>
    </xf>
    <xf numFmtId="166" fontId="40" fillId="0" borderId="0" xfId="61" applyNumberFormat="1" applyFont="1" applyAlignment="1">
      <alignment horizontal="left" vertical="center"/>
    </xf>
    <xf numFmtId="0" fontId="39" fillId="0" borderId="0" xfId="61" applyFont="1" applyAlignment="1">
      <alignment horizontal="left" vertical="top"/>
    </xf>
    <xf numFmtId="0" fontId="39" fillId="0" borderId="0" xfId="64" applyNumberFormat="1" applyFont="1" applyAlignment="1">
      <alignment horizontal="left" vertical="top"/>
    </xf>
    <xf numFmtId="0" fontId="17" fillId="0" borderId="0" xfId="61" quotePrefix="1" applyFont="1" applyAlignment="1">
      <alignment horizontal="left" indent="1"/>
    </xf>
    <xf numFmtId="0" fontId="40" fillId="0" borderId="0" xfId="61" applyFont="1" applyAlignment="1">
      <alignment vertical="center"/>
    </xf>
    <xf numFmtId="0" fontId="39" fillId="0" borderId="0" xfId="64" applyNumberFormat="1" applyFont="1" applyAlignment="1">
      <alignment horizontal="center" vertical="top"/>
    </xf>
    <xf numFmtId="9" fontId="23" fillId="0" borderId="0" xfId="64" applyFont="1" applyFill="1" applyAlignment="1">
      <alignment horizontal="center" vertical="top"/>
    </xf>
    <xf numFmtId="166" fontId="17" fillId="0" borderId="0" xfId="61" quotePrefix="1" applyNumberFormat="1" applyFont="1" applyAlignment="1">
      <alignment horizontal="left" vertical="center" indent="1"/>
    </xf>
    <xf numFmtId="9" fontId="17" fillId="0" borderId="0" xfId="64" applyFont="1" applyBorder="1" applyAlignment="1">
      <alignment horizontal="right" vertical="center"/>
    </xf>
    <xf numFmtId="10" fontId="16" fillId="0" borderId="0" xfId="64" applyNumberFormat="1" applyFont="1"/>
    <xf numFmtId="9" fontId="16" fillId="0" borderId="0" xfId="64" applyFont="1"/>
    <xf numFmtId="166" fontId="41" fillId="0" borderId="0" xfId="61" quotePrefix="1" applyNumberFormat="1" applyFont="1" applyAlignment="1">
      <alignment horizontal="left" vertical="center" indent="1"/>
    </xf>
    <xf numFmtId="9" fontId="17" fillId="25" borderId="0" xfId="64" applyFont="1" applyFill="1" applyBorder="1" applyAlignment="1">
      <alignment horizontal="right" vertical="center"/>
    </xf>
    <xf numFmtId="9" fontId="33" fillId="25" borderId="0" xfId="64" quotePrefix="1" applyFont="1" applyFill="1" applyAlignment="1">
      <alignment horizontal="right" vertical="center"/>
    </xf>
    <xf numFmtId="9" fontId="16" fillId="0" borderId="0" xfId="62" applyNumberFormat="1" applyFont="1"/>
  </cellXfs>
  <cellStyles count="65">
    <cellStyle name="20 % - Accent1" xfId="1" xr:uid="{00000000-0005-0000-0000-000000000000}"/>
    <cellStyle name="20 % - Accent2" xfId="2" xr:uid="{00000000-0005-0000-0000-000001000000}"/>
    <cellStyle name="20 % - Accent3" xfId="3" xr:uid="{00000000-0005-0000-0000-000002000000}"/>
    <cellStyle name="20 % - Accent4" xfId="4" xr:uid="{00000000-0005-0000-0000-000003000000}"/>
    <cellStyle name="20 % - Accent5" xfId="5" xr:uid="{00000000-0005-0000-0000-000004000000}"/>
    <cellStyle name="20 % - Accent6" xfId="6" xr:uid="{00000000-0005-0000-0000-000005000000}"/>
    <cellStyle name="40 % - Accent1" xfId="7" xr:uid="{00000000-0005-0000-0000-000006000000}"/>
    <cellStyle name="40 % - Accent2" xfId="8" xr:uid="{00000000-0005-0000-0000-000007000000}"/>
    <cellStyle name="40 % - Accent3" xfId="9" xr:uid="{00000000-0005-0000-0000-000008000000}"/>
    <cellStyle name="40 % - Accent4" xfId="10" xr:uid="{00000000-0005-0000-0000-000009000000}"/>
    <cellStyle name="40 % - Accent5" xfId="11" xr:uid="{00000000-0005-0000-0000-00000A000000}"/>
    <cellStyle name="40 % - Accent6" xfId="12" xr:uid="{00000000-0005-0000-0000-00000B000000}"/>
    <cellStyle name="60 % - Accent1" xfId="13" xr:uid="{00000000-0005-0000-0000-00000C000000}"/>
    <cellStyle name="60 % - Accent2" xfId="14" xr:uid="{00000000-0005-0000-0000-00000D000000}"/>
    <cellStyle name="60 % - Accent3" xfId="15" xr:uid="{00000000-0005-0000-0000-00000E000000}"/>
    <cellStyle name="60 % - Accent4" xfId="16" xr:uid="{00000000-0005-0000-0000-00000F000000}"/>
    <cellStyle name="60 % - Accent5" xfId="17" xr:uid="{00000000-0005-0000-0000-000010000000}"/>
    <cellStyle name="60 % - Accent6" xfId="18" xr:uid="{00000000-0005-0000-0000-000011000000}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xr:uid="{00000000-0005-0000-0000-000018000000}"/>
    <cellStyle name="Bad" xfId="26" xr:uid="{00000000-0005-0000-0000-000019000000}"/>
    <cellStyle name="Cellule liée" xfId="27" xr:uid="{00000000-0005-0000-0000-00001A000000}"/>
    <cellStyle name="Check Cell" xfId="28" xr:uid="{00000000-0005-0000-0000-00001B000000}"/>
    <cellStyle name="Commentaire" xfId="29" xr:uid="{00000000-0005-0000-0000-00001C000000}"/>
    <cellStyle name="Entrée" xfId="30" xr:uid="{00000000-0005-0000-0000-00001D000000}"/>
    <cellStyle name="Euro" xfId="31" xr:uid="{00000000-0005-0000-0000-00001E000000}"/>
    <cellStyle name="Explanatory Text" xfId="32" xr:uid="{00000000-0005-0000-0000-00001F000000}"/>
    <cellStyle name="Heading 1" xfId="33" xr:uid="{00000000-0005-0000-0000-000020000000}"/>
    <cellStyle name="Heading 2" xfId="34" xr:uid="{00000000-0005-0000-0000-000021000000}"/>
    <cellStyle name="Heading 3" xfId="35" xr:uid="{00000000-0005-0000-0000-000022000000}"/>
    <cellStyle name="Heading 4" xfId="36" xr:uid="{00000000-0005-0000-0000-000023000000}"/>
    <cellStyle name="Input" xfId="37" xr:uid="{00000000-0005-0000-0000-000024000000}"/>
    <cellStyle name="Insatisfaisant" xfId="38" xr:uid="{00000000-0005-0000-0000-000025000000}"/>
    <cellStyle name="Invoer" xfId="39" xr:uid="{00000000-0005-0000-0000-000026000000}"/>
    <cellStyle name="Normal" xfId="0" builtinId="0"/>
    <cellStyle name="Normal - Style1" xfId="40" xr:uid="{00000000-0005-0000-0000-000028000000}"/>
    <cellStyle name="Normal - Style2" xfId="41" xr:uid="{00000000-0005-0000-0000-000029000000}"/>
    <cellStyle name="Normal - Style3" xfId="42" xr:uid="{00000000-0005-0000-0000-00002A000000}"/>
    <cellStyle name="Normal - Style4" xfId="43" xr:uid="{00000000-0005-0000-0000-00002B000000}"/>
    <cellStyle name="Normal - Style5" xfId="44" xr:uid="{00000000-0005-0000-0000-00002C000000}"/>
    <cellStyle name="Normal - Style6" xfId="45" xr:uid="{00000000-0005-0000-0000-00002D000000}"/>
    <cellStyle name="Normal - Style7" xfId="46" xr:uid="{00000000-0005-0000-0000-00002E000000}"/>
    <cellStyle name="Normal - Style8" xfId="47" xr:uid="{00000000-0005-0000-0000-00002F000000}"/>
    <cellStyle name="Normal 2" xfId="48" xr:uid="{00000000-0005-0000-0000-000030000000}"/>
    <cellStyle name="Normal 3" xfId="49" xr:uid="{00000000-0005-0000-0000-000031000000}"/>
    <cellStyle name="Normal 4" xfId="50" xr:uid="{00000000-0005-0000-0000-000032000000}"/>
    <cellStyle name="Normal 5" xfId="62" xr:uid="{BCA6DC8F-A96A-441A-A7F3-1287473C9725}"/>
    <cellStyle name="Normal_w2co2000" xfId="61" xr:uid="{A7E46DBC-594A-4157-B489-25B0193E0D57}"/>
    <cellStyle name="Normal_w2co2000 2" xfId="63" xr:uid="{B1AAB6CE-CA87-4779-9B06-F9BC5FD80421}"/>
    <cellStyle name="Note" xfId="51" xr:uid="{00000000-0005-0000-0000-000033000000}"/>
    <cellStyle name="Notitie" xfId="52" xr:uid="{00000000-0005-0000-0000-000034000000}"/>
    <cellStyle name="Ongeldig" xfId="53" xr:uid="{00000000-0005-0000-0000-000035000000}"/>
    <cellStyle name="Output" xfId="54" xr:uid="{00000000-0005-0000-0000-000036000000}"/>
    <cellStyle name="Percent" xfId="64" builtinId="5"/>
    <cellStyle name="Sortie" xfId="55" xr:uid="{00000000-0005-0000-0000-000037000000}"/>
    <cellStyle name="Standaard 19" xfId="60" xr:uid="{AB4FDB70-BE4F-4B77-B909-FABF4D64259E}"/>
    <cellStyle name="Standaard 2" xfId="56" xr:uid="{00000000-0005-0000-0000-000038000000}"/>
    <cellStyle name="Texte explicatif" xfId="57" xr:uid="{00000000-0005-0000-0000-00003A000000}"/>
    <cellStyle name="Uitvoer" xfId="58" xr:uid="{00000000-0005-0000-0000-00003B000000}"/>
    <cellStyle name="Verklarende tekst" xfId="59" xr:uid="{00000000-0005-0000-0000-00003C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FF00"/>
      <color rgb="FF333399"/>
      <color rgb="FF80008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Verhouding bijdragen / uitgaven sociale zekerheid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'Zelfstandigen - Indépendants'!$A$2</c:f>
              <c:strCache>
                <c:ptCount val="1"/>
                <c:pt idx="0">
                  <c:v>Zelfstandigen: bijdragen / uitgaven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'Zelfstandigen - Indépendants'!$D$22:$AC$22</c:f>
              <c:strCache>
                <c:ptCount val="26"/>
                <c:pt idx="0">
                  <c:v> 2000 </c:v>
                </c:pt>
                <c:pt idx="1">
                  <c:v> 2001 </c:v>
                </c:pt>
                <c:pt idx="2">
                  <c:v> 2002 </c:v>
                </c:pt>
                <c:pt idx="3">
                  <c:v> 2003 </c:v>
                </c:pt>
                <c:pt idx="4">
                  <c:v> 2004 </c:v>
                </c:pt>
                <c:pt idx="5">
                  <c:v> 2005 </c:v>
                </c:pt>
                <c:pt idx="6">
                  <c:v> 2006 </c:v>
                </c:pt>
                <c:pt idx="7">
                  <c:v> 2007 </c:v>
                </c:pt>
                <c:pt idx="8">
                  <c:v> 2008 </c:v>
                </c:pt>
                <c:pt idx="9">
                  <c:v> 2009 </c:v>
                </c:pt>
                <c:pt idx="10">
                  <c:v> 2010 </c:v>
                </c:pt>
                <c:pt idx="11">
                  <c:v> 2011 </c:v>
                </c:pt>
                <c:pt idx="12">
                  <c:v> 2012 </c:v>
                </c:pt>
                <c:pt idx="13">
                  <c:v> 2013 </c:v>
                </c:pt>
                <c:pt idx="14">
                  <c:v> 2014 </c:v>
                </c:pt>
                <c:pt idx="15">
                  <c:v> 2015 </c:v>
                </c:pt>
                <c:pt idx="16">
                  <c:v> 2016 </c:v>
                </c:pt>
                <c:pt idx="17">
                  <c:v> 2017 </c:v>
                </c:pt>
                <c:pt idx="18">
                  <c:v> 2018 </c:v>
                </c:pt>
                <c:pt idx="19">
                  <c:v> 2019 </c:v>
                </c:pt>
                <c:pt idx="20">
                  <c:v> 2020 </c:v>
                </c:pt>
                <c:pt idx="21">
                  <c:v> 2021 </c:v>
                </c:pt>
                <c:pt idx="22">
                  <c:v> 2022 </c:v>
                </c:pt>
                <c:pt idx="23">
                  <c:v> 2023 </c:v>
                </c:pt>
                <c:pt idx="24">
                  <c:v> 2024 </c:v>
                </c:pt>
                <c:pt idx="25">
                  <c:v> 2025 </c:v>
                </c:pt>
              </c:strCache>
            </c:strRef>
          </c:cat>
          <c:val>
            <c:numRef>
              <c:f>'Zelfstandigen - Indépendants'!$D$2:$AC$2</c:f>
              <c:numCache>
                <c:formatCode>0%</c:formatCode>
                <c:ptCount val="26"/>
                <c:pt idx="0">
                  <c:v>0.65034248739220513</c:v>
                </c:pt>
                <c:pt idx="1">
                  <c:v>0.64619299771014227</c:v>
                </c:pt>
                <c:pt idx="2">
                  <c:v>0.65717363949035446</c:v>
                </c:pt>
                <c:pt idx="3">
                  <c:v>0.6447440966407878</c:v>
                </c:pt>
                <c:pt idx="4">
                  <c:v>0.6295794421635087</c:v>
                </c:pt>
                <c:pt idx="5">
                  <c:v>0.63856818738923704</c:v>
                </c:pt>
                <c:pt idx="6">
                  <c:v>0.63246147693514754</c:v>
                </c:pt>
                <c:pt idx="7">
                  <c:v>0.63125798507107722</c:v>
                </c:pt>
                <c:pt idx="8">
                  <c:v>0.62354299745450326</c:v>
                </c:pt>
                <c:pt idx="9">
                  <c:v>0.61524428140053611</c:v>
                </c:pt>
                <c:pt idx="10">
                  <c:v>0.603546608137978</c:v>
                </c:pt>
                <c:pt idx="11">
                  <c:v>0.5832811396730746</c:v>
                </c:pt>
                <c:pt idx="12">
                  <c:v>0.59982341375140802</c:v>
                </c:pt>
                <c:pt idx="13">
                  <c:v>0.60302725101410604</c:v>
                </c:pt>
                <c:pt idx="14">
                  <c:v>0.58172813073615759</c:v>
                </c:pt>
                <c:pt idx="15">
                  <c:v>0.69152896538122932</c:v>
                </c:pt>
                <c:pt idx="16">
                  <c:v>0.70071523520638046</c:v>
                </c:pt>
                <c:pt idx="17">
                  <c:v>0.65734583193276552</c:v>
                </c:pt>
                <c:pt idx="18">
                  <c:v>0.64671688153924967</c:v>
                </c:pt>
                <c:pt idx="19">
                  <c:v>0.63490400657571644</c:v>
                </c:pt>
                <c:pt idx="20">
                  <c:v>0.39307571557683613</c:v>
                </c:pt>
                <c:pt idx="21">
                  <c:v>0.47452419244399319</c:v>
                </c:pt>
                <c:pt idx="22">
                  <c:v>0.50985197051779041</c:v>
                </c:pt>
                <c:pt idx="23">
                  <c:v>0.57158256666170737</c:v>
                </c:pt>
                <c:pt idx="24">
                  <c:v>0.54299398353335759</c:v>
                </c:pt>
                <c:pt idx="25">
                  <c:v>0.52465897322762889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65-4E19-84FD-A3CA64B83E36}"/>
            </c:ext>
          </c:extLst>
        </c:ser>
        <c:ser>
          <c:idx val="1"/>
          <c:order val="1"/>
          <c:tx>
            <c:strRef>
              <c:f>'Zelfstandigen - Indépendants'!$A$5</c:f>
              <c:strCache>
                <c:ptCount val="1"/>
                <c:pt idx="0">
                  <c:v>Werknemers: bijdragen / uitgaven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'Zelfstandigen - Indépendants'!$D$5:$AC$5</c:f>
              <c:numCache>
                <c:formatCode>0%</c:formatCode>
                <c:ptCount val="26"/>
                <c:pt idx="0">
                  <c:v>0.75509277005129483</c:v>
                </c:pt>
                <c:pt idx="1">
                  <c:v>0.7426883959693068</c:v>
                </c:pt>
                <c:pt idx="2">
                  <c:v>0.74789210934954897</c:v>
                </c:pt>
                <c:pt idx="3">
                  <c:v>0.70986483079918516</c:v>
                </c:pt>
                <c:pt idx="4">
                  <c:v>0.66955829485360263</c:v>
                </c:pt>
                <c:pt idx="5">
                  <c:v>0.66425375241673779</c:v>
                </c:pt>
                <c:pt idx="6">
                  <c:v>0.66155791148874599</c:v>
                </c:pt>
                <c:pt idx="7">
                  <c:v>0.66790544412429942</c:v>
                </c:pt>
                <c:pt idx="8">
                  <c:v>0.69205678744352706</c:v>
                </c:pt>
                <c:pt idx="9">
                  <c:v>0.65429477472271835</c:v>
                </c:pt>
                <c:pt idx="10">
                  <c:v>0.63330246588511974</c:v>
                </c:pt>
                <c:pt idx="11">
                  <c:v>0.63057948246570383</c:v>
                </c:pt>
                <c:pt idx="12">
                  <c:v>0.64606153579749315</c:v>
                </c:pt>
                <c:pt idx="13">
                  <c:v>0.63482497525319759</c:v>
                </c:pt>
                <c:pt idx="14">
                  <c:v>0.62609649182398408</c:v>
                </c:pt>
                <c:pt idx="15">
                  <c:v>0.75366366738934476</c:v>
                </c:pt>
                <c:pt idx="16">
                  <c:v>0.72957623442110786</c:v>
                </c:pt>
                <c:pt idx="17">
                  <c:v>0.71097563610039272</c:v>
                </c:pt>
                <c:pt idx="18">
                  <c:v>0.70447243963624528</c:v>
                </c:pt>
                <c:pt idx="19">
                  <c:v>0.70571926210431712</c:v>
                </c:pt>
                <c:pt idx="20">
                  <c:v>0.62551760366926856</c:v>
                </c:pt>
                <c:pt idx="21">
                  <c:v>0.65735601512718778</c:v>
                </c:pt>
                <c:pt idx="22">
                  <c:v>0.67757936855322454</c:v>
                </c:pt>
                <c:pt idx="23">
                  <c:v>0.67343141444830834</c:v>
                </c:pt>
                <c:pt idx="24">
                  <c:v>0.66226023504781817</c:v>
                </c:pt>
                <c:pt idx="25">
                  <c:v>0.64693290747254018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65-4E19-84FD-A3CA64B83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1395536"/>
        <c:axId val="1131396496"/>
      </c:lineChart>
      <c:catAx>
        <c:axId val="113139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131396496"/>
        <c:crosses val="autoZero"/>
        <c:auto val="1"/>
        <c:lblAlgn val="ctr"/>
        <c:lblOffset val="100"/>
        <c:noMultiLvlLbl val="0"/>
      </c:catAx>
      <c:valAx>
        <c:axId val="1131396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13139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'Zelfstandigen - Indépendants'!$AF$30</c:f>
              <c:strCache>
                <c:ptCount val="1"/>
                <c:pt idx="0">
                  <c:v>Staatstoelage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'Zelfstandigen - Indépendants'!$AD$22:$AE$22</c:f>
              <c:strCache>
                <c:ptCount val="2"/>
                <c:pt idx="0">
                  <c:v>Werknemers</c:v>
                </c:pt>
                <c:pt idx="1">
                  <c:v>Zelfstandigen</c:v>
                </c:pt>
              </c:strCache>
            </c:strRef>
          </c:cat>
          <c:val>
            <c:numRef>
              <c:f>('Zelfstandigen - Indépendants'!$AE$30,'Zelfstandigen - Indépendants'!$AD$30)</c:f>
              <c:numCache>
                <c:formatCode>0.0%</c:formatCode>
                <c:ptCount val="2"/>
                <c:pt idx="0">
                  <c:v>9.3573577263098076E-2</c:v>
                </c:pt>
                <c:pt idx="1">
                  <c:v>9.2059225779148934E-2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AD-44CD-9422-37CB4A208592}"/>
            </c:ext>
          </c:extLst>
        </c:ser>
        <c:ser>
          <c:idx val="1"/>
          <c:order val="1"/>
          <c:tx>
            <c:strRef>
              <c:f>'Zelfstandigen - Indépendants'!$AF$35</c:f>
              <c:strCache>
                <c:ptCount val="1"/>
                <c:pt idx="0">
                  <c:v>Alternatieve financiering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'Zelfstandigen - Indépendants'!$AD$22:$AE$22</c:f>
              <c:strCache>
                <c:ptCount val="2"/>
                <c:pt idx="0">
                  <c:v>Werknemers</c:v>
                </c:pt>
                <c:pt idx="1">
                  <c:v>Zelfstandigen</c:v>
                </c:pt>
              </c:strCache>
            </c:strRef>
          </c:cat>
          <c:val>
            <c:numRef>
              <c:f>('Zelfstandigen - Indépendants'!$AE$35,'Zelfstandigen - Indépendants'!$AD$35)</c:f>
              <c:numCache>
                <c:formatCode>0.0%</c:formatCode>
                <c:ptCount val="2"/>
                <c:pt idx="0">
                  <c:v>0.21356734725736684</c:v>
                </c:pt>
                <c:pt idx="1">
                  <c:v>0.35346576251932471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AD-44CD-9422-37CB4A208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1979984"/>
        <c:axId val="1503762272"/>
      </c:barChart>
      <c:catAx>
        <c:axId val="152197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03762272"/>
        <c:crosses val="autoZero"/>
        <c:auto val="1"/>
        <c:lblAlgn val="ctr"/>
        <c:lblOffset val="100"/>
        <c:noMultiLvlLbl val="0"/>
      </c:catAx>
      <c:valAx>
        <c:axId val="150376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2197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Financiering</a:t>
            </a:r>
            <a:r>
              <a:rPr lang="nl-BE" baseline="0"/>
              <a:t> zelfstandigenstelsel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'Zelfstandigen - Indépendants'!$A$59</c:f>
              <c:strCache>
                <c:ptCount val="1"/>
                <c:pt idx="0">
                  <c:v>Toelagen van publieke overheden 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'Zelfstandigen - Indépendants'!$D$22:$AC$22</c:f>
              <c:strCache>
                <c:ptCount val="26"/>
                <c:pt idx="0">
                  <c:v> 2000 </c:v>
                </c:pt>
                <c:pt idx="1">
                  <c:v> 2001 </c:v>
                </c:pt>
                <c:pt idx="2">
                  <c:v> 2002 </c:v>
                </c:pt>
                <c:pt idx="3">
                  <c:v> 2003 </c:v>
                </c:pt>
                <c:pt idx="4">
                  <c:v> 2004 </c:v>
                </c:pt>
                <c:pt idx="5">
                  <c:v> 2005 </c:v>
                </c:pt>
                <c:pt idx="6">
                  <c:v> 2006 </c:v>
                </c:pt>
                <c:pt idx="7">
                  <c:v> 2007 </c:v>
                </c:pt>
                <c:pt idx="8">
                  <c:v> 2008 </c:v>
                </c:pt>
                <c:pt idx="9">
                  <c:v> 2009 </c:v>
                </c:pt>
                <c:pt idx="10">
                  <c:v> 2010 </c:v>
                </c:pt>
                <c:pt idx="11">
                  <c:v> 2011 </c:v>
                </c:pt>
                <c:pt idx="12">
                  <c:v> 2012 </c:v>
                </c:pt>
                <c:pt idx="13">
                  <c:v> 2013 </c:v>
                </c:pt>
                <c:pt idx="14">
                  <c:v> 2014 </c:v>
                </c:pt>
                <c:pt idx="15">
                  <c:v> 2015 </c:v>
                </c:pt>
                <c:pt idx="16">
                  <c:v> 2016 </c:v>
                </c:pt>
                <c:pt idx="17">
                  <c:v> 2017 </c:v>
                </c:pt>
                <c:pt idx="18">
                  <c:v> 2018 </c:v>
                </c:pt>
                <c:pt idx="19">
                  <c:v> 2019 </c:v>
                </c:pt>
                <c:pt idx="20">
                  <c:v> 2020 </c:v>
                </c:pt>
                <c:pt idx="21">
                  <c:v> 2021 </c:v>
                </c:pt>
                <c:pt idx="22">
                  <c:v> 2022 </c:v>
                </c:pt>
                <c:pt idx="23">
                  <c:v> 2023 </c:v>
                </c:pt>
                <c:pt idx="24">
                  <c:v> 2024 </c:v>
                </c:pt>
                <c:pt idx="25">
                  <c:v> 2025 </c:v>
                </c:pt>
              </c:strCache>
            </c:strRef>
          </c:cat>
          <c:val>
            <c:numRef>
              <c:f>'Zelfstandigen - Indépendants'!$B$59:$AC$59</c:f>
              <c:numCache>
                <c:formatCode>0%</c:formatCode>
                <c:ptCount val="26"/>
                <c:pt idx="0">
                  <c:v>0.28796942435085987</c:v>
                </c:pt>
                <c:pt idx="1">
                  <c:v>0.29270118623942093</c:v>
                </c:pt>
                <c:pt idx="2">
                  <c:v>0.28555547174809132</c:v>
                </c:pt>
                <c:pt idx="3">
                  <c:v>0.28559351694229468</c:v>
                </c:pt>
                <c:pt idx="4">
                  <c:v>0.27060878744529376</c:v>
                </c:pt>
                <c:pt idx="5">
                  <c:v>0.2585752499248038</c:v>
                </c:pt>
                <c:pt idx="6">
                  <c:v>0.24806478496135773</c:v>
                </c:pt>
                <c:pt idx="7">
                  <c:v>0.23373936642851575</c:v>
                </c:pt>
                <c:pt idx="8">
                  <c:v>0.23036970239950169</c:v>
                </c:pt>
                <c:pt idx="9">
                  <c:v>0.22693300161698829</c:v>
                </c:pt>
                <c:pt idx="10">
                  <c:v>0.24871675987768507</c:v>
                </c:pt>
                <c:pt idx="11">
                  <c:v>0.22718219617755939</c:v>
                </c:pt>
                <c:pt idx="12">
                  <c:v>0.27063721229183407</c:v>
                </c:pt>
                <c:pt idx="13">
                  <c:v>0.27861568800396641</c:v>
                </c:pt>
                <c:pt idx="14">
                  <c:v>0.28622558901872008</c:v>
                </c:pt>
                <c:pt idx="15">
                  <c:v>0.2200802473464864</c:v>
                </c:pt>
                <c:pt idx="16">
                  <c:v>0.21845443846552687</c:v>
                </c:pt>
                <c:pt idx="17">
                  <c:v>5.3371633518446711E-2</c:v>
                </c:pt>
                <c:pt idx="18">
                  <c:v>5.1252941549545107E-2</c:v>
                </c:pt>
                <c:pt idx="19">
                  <c:v>5.1150072465176576E-2</c:v>
                </c:pt>
                <c:pt idx="20">
                  <c:v>0.36838677922250035</c:v>
                </c:pt>
                <c:pt idx="21">
                  <c:v>0.29693014728556455</c:v>
                </c:pt>
                <c:pt idx="22">
                  <c:v>9.9814236967531181E-2</c:v>
                </c:pt>
                <c:pt idx="23">
                  <c:v>0.1220476075944808</c:v>
                </c:pt>
                <c:pt idx="24">
                  <c:v>9.0849797898403806E-2</c:v>
                </c:pt>
                <c:pt idx="25">
                  <c:v>9.2059225779148934E-2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A1-4C13-9265-3C33F4DF3051}"/>
            </c:ext>
          </c:extLst>
        </c:ser>
        <c:ser>
          <c:idx val="1"/>
          <c:order val="1"/>
          <c:tx>
            <c:strRef>
              <c:f>'Zelfstandigen - Indépendants'!$A$60</c:f>
              <c:strCache>
                <c:ptCount val="1"/>
                <c:pt idx="0">
                  <c:v>Alternatieve financiering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'Zelfstandigen - Indépendants'!$D$22:$AC$22</c:f>
              <c:strCache>
                <c:ptCount val="26"/>
                <c:pt idx="0">
                  <c:v> 2000 </c:v>
                </c:pt>
                <c:pt idx="1">
                  <c:v> 2001 </c:v>
                </c:pt>
                <c:pt idx="2">
                  <c:v> 2002 </c:v>
                </c:pt>
                <c:pt idx="3">
                  <c:v> 2003 </c:v>
                </c:pt>
                <c:pt idx="4">
                  <c:v> 2004 </c:v>
                </c:pt>
                <c:pt idx="5">
                  <c:v> 2005 </c:v>
                </c:pt>
                <c:pt idx="6">
                  <c:v> 2006 </c:v>
                </c:pt>
                <c:pt idx="7">
                  <c:v> 2007 </c:v>
                </c:pt>
                <c:pt idx="8">
                  <c:v> 2008 </c:v>
                </c:pt>
                <c:pt idx="9">
                  <c:v> 2009 </c:v>
                </c:pt>
                <c:pt idx="10">
                  <c:v> 2010 </c:v>
                </c:pt>
                <c:pt idx="11">
                  <c:v> 2011 </c:v>
                </c:pt>
                <c:pt idx="12">
                  <c:v> 2012 </c:v>
                </c:pt>
                <c:pt idx="13">
                  <c:v> 2013 </c:v>
                </c:pt>
                <c:pt idx="14">
                  <c:v> 2014 </c:v>
                </c:pt>
                <c:pt idx="15">
                  <c:v> 2015 </c:v>
                </c:pt>
                <c:pt idx="16">
                  <c:v> 2016 </c:v>
                </c:pt>
                <c:pt idx="17">
                  <c:v> 2017 </c:v>
                </c:pt>
                <c:pt idx="18">
                  <c:v> 2018 </c:v>
                </c:pt>
                <c:pt idx="19">
                  <c:v> 2019 </c:v>
                </c:pt>
                <c:pt idx="20">
                  <c:v> 2020 </c:v>
                </c:pt>
                <c:pt idx="21">
                  <c:v> 2021 </c:v>
                </c:pt>
                <c:pt idx="22">
                  <c:v> 2022 </c:v>
                </c:pt>
                <c:pt idx="23">
                  <c:v> 2023 </c:v>
                </c:pt>
                <c:pt idx="24">
                  <c:v> 2024 </c:v>
                </c:pt>
                <c:pt idx="25">
                  <c:v> 2025 </c:v>
                </c:pt>
              </c:strCache>
            </c:strRef>
          </c:cat>
          <c:val>
            <c:numRef>
              <c:f>'Zelfstandigen - Indépendants'!$B$60:$AC$60</c:f>
              <c:numCache>
                <c:formatCode>0%</c:formatCode>
                <c:ptCount val="26"/>
                <c:pt idx="0">
                  <c:v>5.3677653757009662E-2</c:v>
                </c:pt>
                <c:pt idx="1">
                  <c:v>3.408238118014114E-2</c:v>
                </c:pt>
                <c:pt idx="2">
                  <c:v>4.0723967532536244E-2</c:v>
                </c:pt>
                <c:pt idx="3">
                  <c:v>3.7876166406325115E-2</c:v>
                </c:pt>
                <c:pt idx="4">
                  <c:v>6.8990635169124445E-2</c:v>
                </c:pt>
                <c:pt idx="5">
                  <c:v>8.9062625994866126E-2</c:v>
                </c:pt>
                <c:pt idx="6">
                  <c:v>0.10354956645309173</c:v>
                </c:pt>
                <c:pt idx="7">
                  <c:v>0.13825126291314258</c:v>
                </c:pt>
                <c:pt idx="8">
                  <c:v>0.14839832592687011</c:v>
                </c:pt>
                <c:pt idx="9">
                  <c:v>0.15164586491760604</c:v>
                </c:pt>
                <c:pt idx="10">
                  <c:v>0.15600211863553862</c:v>
                </c:pt>
                <c:pt idx="11">
                  <c:v>0.17736524421156313</c:v>
                </c:pt>
                <c:pt idx="12">
                  <c:v>0.14427609986057591</c:v>
                </c:pt>
                <c:pt idx="13">
                  <c:v>0.14128956452345631</c:v>
                </c:pt>
                <c:pt idx="14">
                  <c:v>0.14348021781056136</c:v>
                </c:pt>
                <c:pt idx="15">
                  <c:v>0.10721072668209407</c:v>
                </c:pt>
                <c:pt idx="16">
                  <c:v>0.10706230097197128</c:v>
                </c:pt>
                <c:pt idx="17">
                  <c:v>0.30657670485317728</c:v>
                </c:pt>
                <c:pt idx="18">
                  <c:v>0.31987655084619177</c:v>
                </c:pt>
                <c:pt idx="19">
                  <c:v>0.32180123913579106</c:v>
                </c:pt>
                <c:pt idx="20">
                  <c:v>0.22833432681743013</c:v>
                </c:pt>
                <c:pt idx="21">
                  <c:v>0.26424139120078072</c:v>
                </c:pt>
                <c:pt idx="22">
                  <c:v>0.33642156897104658</c:v>
                </c:pt>
                <c:pt idx="23">
                  <c:v>0.32597616772348481</c:v>
                </c:pt>
                <c:pt idx="24">
                  <c:v>0.35469796341878029</c:v>
                </c:pt>
                <c:pt idx="25">
                  <c:v>0.35346576251932471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A1-4C13-9265-3C33F4DF3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07857504"/>
        <c:axId val="1407854624"/>
      </c:barChart>
      <c:catAx>
        <c:axId val="140785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407854624"/>
        <c:crosses val="autoZero"/>
        <c:auto val="1"/>
        <c:lblAlgn val="ctr"/>
        <c:lblOffset val="100"/>
        <c:noMultiLvlLbl val="0"/>
      </c:catAx>
      <c:valAx>
        <c:axId val="14078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40785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255540</xdr:colOff>
      <xdr:row>0</xdr:row>
      <xdr:rowOff>0</xdr:rowOff>
    </xdr:from>
    <xdr:to>
      <xdr:col>44</xdr:col>
      <xdr:colOff>764992</xdr:colOff>
      <xdr:row>32</xdr:row>
      <xdr:rowOff>95795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B61901-8F28-B694-2F7A-3EC75A972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228328</xdr:colOff>
      <xdr:row>34</xdr:row>
      <xdr:rowOff>9525</xdr:rowOff>
    </xdr:from>
    <xdr:to>
      <xdr:col>10</xdr:col>
      <xdr:colOff>146685</xdr:colOff>
      <xdr:row>48</xdr:row>
      <xdr:rowOff>33201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8B28BB-5347-97CC-17D1-A10B846BC2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238124</xdr:colOff>
      <xdr:row>34</xdr:row>
      <xdr:rowOff>5716</xdr:rowOff>
    </xdr:from>
    <xdr:to>
      <xdr:col>16</xdr:col>
      <xdr:colOff>156481</xdr:colOff>
      <xdr:row>48</xdr:row>
      <xdr:rowOff>33202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BD029F1-49B5-2021-9771-A931C47B39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CBAA6-98FD-4F96-8F1C-64DB9B1F213E}">
  <sheetPr codeName="Sheet1111239">
    <pageSetUpPr autoPageBreaks="0"/>
  </sheetPr>
  <dimension ref="A1:BE367"/>
  <sheetViews>
    <sheetView showGridLines="0" tabSelected="1" topLeftCell="R39" zoomScale="90" zoomScaleNormal="90" workbookViewId="0">
      <selection activeCell="AE60" sqref="AE60"/>
    </sheetView>
  </sheetViews>
  <sheetFormatPr defaultColWidth="11.42578125" defaultRowHeight="12.75" x14ac:dyDescent="0.2"/>
  <cols>
    <col min="1" max="1" width="37.7109375" style="74" customWidth="1"/>
    <col min="2" max="2" width="37.7109375" style="74" hidden="1" customWidth="1"/>
    <col min="3" max="3" width="13.7109375" style="15" hidden="1" customWidth="1"/>
    <col min="4" max="5" width="12.140625" style="74" bestFit="1" customWidth="1"/>
    <col min="6" max="6" width="10.7109375" style="74" customWidth="1"/>
    <col min="7" max="7" width="18.7109375" style="74" bestFit="1" customWidth="1"/>
    <col min="8" max="21" width="12.140625" style="74" bestFit="1" customWidth="1"/>
    <col min="22" max="25" width="10.7109375" style="74" customWidth="1"/>
    <col min="26" max="26" width="12.140625" style="74" bestFit="1" customWidth="1"/>
    <col min="27" max="29" width="13.140625" style="74" customWidth="1"/>
    <col min="30" max="32" width="11.42578125" style="5" customWidth="1"/>
    <col min="33" max="16384" width="11.42578125" style="74"/>
  </cols>
  <sheetData>
    <row r="1" spans="1:32" s="6" customFormat="1" ht="30" customHeight="1" x14ac:dyDescent="0.25">
      <c r="A1" s="1" t="s">
        <v>0</v>
      </c>
      <c r="B1" s="1" t="s">
        <v>1</v>
      </c>
      <c r="C1" s="2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5"/>
      <c r="AE1" s="5"/>
      <c r="AF1" s="5"/>
    </row>
    <row r="2" spans="1:32" s="6" customFormat="1" ht="30" customHeight="1" x14ac:dyDescent="0.25">
      <c r="A2" s="1" t="s">
        <v>206</v>
      </c>
      <c r="B2" s="1"/>
      <c r="C2" s="2"/>
      <c r="D2" s="99">
        <f>D23/D84</f>
        <v>0.65034248739220513</v>
      </c>
      <c r="E2" s="99">
        <f t="shared" ref="E2:AC2" si="0">E23/E84</f>
        <v>0.64619299771014227</v>
      </c>
      <c r="F2" s="99">
        <f t="shared" si="0"/>
        <v>0.65717363949035446</v>
      </c>
      <c r="G2" s="99">
        <f t="shared" si="0"/>
        <v>0.6447440966407878</v>
      </c>
      <c r="H2" s="99">
        <f t="shared" si="0"/>
        <v>0.6295794421635087</v>
      </c>
      <c r="I2" s="99">
        <f t="shared" si="0"/>
        <v>0.63856818738923704</v>
      </c>
      <c r="J2" s="99">
        <f t="shared" si="0"/>
        <v>0.63246147693514754</v>
      </c>
      <c r="K2" s="99">
        <f t="shared" si="0"/>
        <v>0.63125798507107722</v>
      </c>
      <c r="L2" s="99">
        <f t="shared" si="0"/>
        <v>0.62354299745450326</v>
      </c>
      <c r="M2" s="99">
        <f t="shared" si="0"/>
        <v>0.61524428140053611</v>
      </c>
      <c r="N2" s="99">
        <f t="shared" si="0"/>
        <v>0.603546608137978</v>
      </c>
      <c r="O2" s="99">
        <f t="shared" si="0"/>
        <v>0.5832811396730746</v>
      </c>
      <c r="P2" s="99">
        <f t="shared" si="0"/>
        <v>0.59982341375140802</v>
      </c>
      <c r="Q2" s="99">
        <f t="shared" si="0"/>
        <v>0.60302725101410604</v>
      </c>
      <c r="R2" s="99">
        <f t="shared" si="0"/>
        <v>0.58172813073615759</v>
      </c>
      <c r="S2" s="99">
        <f t="shared" si="0"/>
        <v>0.69152896538122932</v>
      </c>
      <c r="T2" s="99">
        <f t="shared" si="0"/>
        <v>0.70071523520638046</v>
      </c>
      <c r="U2" s="99">
        <f t="shared" si="0"/>
        <v>0.65734583193276552</v>
      </c>
      <c r="V2" s="99">
        <f t="shared" si="0"/>
        <v>0.64671688153924967</v>
      </c>
      <c r="W2" s="99">
        <f t="shared" si="0"/>
        <v>0.63490400657571644</v>
      </c>
      <c r="X2" s="99">
        <f t="shared" si="0"/>
        <v>0.39307571557683613</v>
      </c>
      <c r="Y2" s="99">
        <f t="shared" si="0"/>
        <v>0.47452419244399319</v>
      </c>
      <c r="Z2" s="99">
        <f t="shared" si="0"/>
        <v>0.50985197051779041</v>
      </c>
      <c r="AA2" s="99">
        <f t="shared" si="0"/>
        <v>0.57158256666170737</v>
      </c>
      <c r="AB2" s="99">
        <f t="shared" si="0"/>
        <v>0.54299398353335759</v>
      </c>
      <c r="AC2" s="99">
        <f t="shared" si="0"/>
        <v>0.52465897322762889</v>
      </c>
      <c r="AD2" s="5"/>
      <c r="AE2" s="5"/>
      <c r="AF2" s="5"/>
    </row>
    <row r="3" spans="1:32" s="6" customFormat="1" ht="30" customHeight="1" x14ac:dyDescent="0.25">
      <c r="A3" s="1" t="s">
        <v>204</v>
      </c>
      <c r="B3" s="1"/>
      <c r="C3" s="2"/>
      <c r="D3" s="99">
        <f>D23/D68</f>
        <v>0.70255247375990926</v>
      </c>
      <c r="E3" s="99">
        <f t="shared" ref="E3:AC3" si="1">E23/E68</f>
        <v>0.69101102108104706</v>
      </c>
      <c r="F3" s="99">
        <f t="shared" si="1"/>
        <v>0.70415428416994919</v>
      </c>
      <c r="G3" s="99">
        <f t="shared" si="1"/>
        <v>0.68622905691047942</v>
      </c>
      <c r="H3" s="99">
        <f t="shared" si="1"/>
        <v>0.68485295795017753</v>
      </c>
      <c r="I3" s="99">
        <f t="shared" si="1"/>
        <v>0.69953585863610102</v>
      </c>
      <c r="J3" s="99">
        <f t="shared" si="1"/>
        <v>0.70929228400183253</v>
      </c>
      <c r="K3" s="99">
        <f t="shared" si="1"/>
        <v>0.69359768853291315</v>
      </c>
      <c r="L3" s="99">
        <f t="shared" si="1"/>
        <v>1.0109008420669976</v>
      </c>
      <c r="M3" s="99">
        <f t="shared" si="1"/>
        <v>0.99924768048660328</v>
      </c>
      <c r="N3" s="99">
        <f t="shared" si="1"/>
        <v>0.99352687118472094</v>
      </c>
      <c r="O3" s="99">
        <f t="shared" si="1"/>
        <v>0.96535651339777906</v>
      </c>
      <c r="P3" s="99">
        <f t="shared" si="1"/>
        <v>0.9599477407807423</v>
      </c>
      <c r="Q3" s="99">
        <f t="shared" si="1"/>
        <v>0.96761813666192642</v>
      </c>
      <c r="R3" s="99">
        <f t="shared" si="1"/>
        <v>0.99633639168049515</v>
      </c>
      <c r="S3" s="99">
        <f t="shared" si="1"/>
        <v>1.1113068161461561</v>
      </c>
      <c r="T3" s="99">
        <f t="shared" si="1"/>
        <v>1.0897775643667447</v>
      </c>
      <c r="U3" s="99">
        <f t="shared" si="1"/>
        <v>1.0629192646840928</v>
      </c>
      <c r="V3" s="99">
        <f t="shared" si="1"/>
        <v>1.0402840216875426</v>
      </c>
      <c r="W3" s="99">
        <f t="shared" si="1"/>
        <v>1.0220914052690082</v>
      </c>
      <c r="X3" s="99">
        <f t="shared" si="1"/>
        <v>0.53259207611103521</v>
      </c>
      <c r="Y3" s="99">
        <f t="shared" si="1"/>
        <v>0.67859393370298648</v>
      </c>
      <c r="Z3" s="99">
        <f t="shared" si="1"/>
        <v>0.87364697336351227</v>
      </c>
      <c r="AA3" s="99">
        <f t="shared" si="1"/>
        <v>0.8872098780450941</v>
      </c>
      <c r="AB3" s="99">
        <f t="shared" si="1"/>
        <v>0.86274364196327236</v>
      </c>
      <c r="AC3" s="99">
        <f t="shared" si="1"/>
        <v>0.83596835473236497</v>
      </c>
      <c r="AD3" s="5"/>
      <c r="AE3" s="5"/>
      <c r="AF3" s="5"/>
    </row>
    <row r="4" spans="1:32" s="6" customFormat="1" ht="30" customHeight="1" x14ac:dyDescent="0.25">
      <c r="A4" s="1" t="s">
        <v>205</v>
      </c>
      <c r="B4" s="1"/>
      <c r="C4" s="2"/>
      <c r="D4" s="99">
        <f>D23/(D68+D79)</f>
        <v>0.68183438732715229</v>
      </c>
      <c r="E4" s="99">
        <f t="shared" ref="E4:AC4" si="2">E23/(E68+E79)</f>
        <v>0.67107962666903354</v>
      </c>
      <c r="F4" s="99">
        <f t="shared" si="2"/>
        <v>0.6838954999141611</v>
      </c>
      <c r="G4" s="99">
        <f t="shared" si="2"/>
        <v>0.66710420807632342</v>
      </c>
      <c r="H4" s="99">
        <f>H23/(H68+H79)</f>
        <v>0.66643801242636536</v>
      </c>
      <c r="I4" s="99">
        <f t="shared" si="2"/>
        <v>0.6810207500287947</v>
      </c>
      <c r="J4" s="99">
        <f t="shared" si="2"/>
        <v>0.69080043803364266</v>
      </c>
      <c r="K4" s="99">
        <f t="shared" si="2"/>
        <v>0.67606943210268444</v>
      </c>
      <c r="L4" s="99">
        <f t="shared" si="2"/>
        <v>0.63429576044909686</v>
      </c>
      <c r="M4" s="99">
        <f t="shared" si="2"/>
        <v>0.62530241791688856</v>
      </c>
      <c r="N4" s="99">
        <f t="shared" si="2"/>
        <v>0.6127143453736722</v>
      </c>
      <c r="O4" s="99">
        <f t="shared" si="2"/>
        <v>0.59188835027319131</v>
      </c>
      <c r="P4" s="99">
        <f t="shared" si="2"/>
        <v>0.60880455454227467</v>
      </c>
      <c r="Q4" s="99">
        <f t="shared" si="2"/>
        <v>0.61185092079056713</v>
      </c>
      <c r="R4" s="99">
        <f t="shared" si="2"/>
        <v>0.6159979111472853</v>
      </c>
      <c r="S4" s="99">
        <f t="shared" si="2"/>
        <v>0.70394528393796274</v>
      </c>
      <c r="T4" s="99">
        <f t="shared" si="2"/>
        <v>0.71149275512206467</v>
      </c>
      <c r="U4" s="99">
        <f t="shared" si="2"/>
        <v>0.66722858284438025</v>
      </c>
      <c r="V4" s="99">
        <f t="shared" si="2"/>
        <v>0.65660684111795187</v>
      </c>
      <c r="W4" s="99">
        <f t="shared" si="2"/>
        <v>0.6458902021738504</v>
      </c>
      <c r="X4" s="99">
        <f t="shared" si="2"/>
        <v>0.39776765718806389</v>
      </c>
      <c r="Y4" s="99">
        <f t="shared" si="2"/>
        <v>0.48129922706232409</v>
      </c>
      <c r="Z4" s="99">
        <f t="shared" si="2"/>
        <v>0.56054986949284402</v>
      </c>
      <c r="AA4" s="99">
        <f t="shared" si="2"/>
        <v>0.58222907382304367</v>
      </c>
      <c r="AB4" s="99">
        <f t="shared" si="2"/>
        <v>0.56690922988280468</v>
      </c>
      <c r="AC4" s="99">
        <f t="shared" si="2"/>
        <v>0.54863947953537762</v>
      </c>
      <c r="AD4" s="5"/>
      <c r="AE4" s="5"/>
      <c r="AF4" s="5"/>
    </row>
    <row r="5" spans="1:32" s="6" customFormat="1" ht="30" customHeight="1" x14ac:dyDescent="0.25">
      <c r="A5" s="1" t="s">
        <v>207</v>
      </c>
      <c r="B5" s="1"/>
      <c r="C5" s="2"/>
      <c r="D5" s="99">
        <v>0.75509277005129483</v>
      </c>
      <c r="E5" s="99">
        <v>0.7426883959693068</v>
      </c>
      <c r="F5" s="99">
        <v>0.74789210934954897</v>
      </c>
      <c r="G5" s="99">
        <v>0.70986483079918516</v>
      </c>
      <c r="H5" s="99">
        <v>0.66955829485360263</v>
      </c>
      <c r="I5" s="99">
        <v>0.66425375241673779</v>
      </c>
      <c r="J5" s="99">
        <v>0.66155791148874599</v>
      </c>
      <c r="K5" s="99">
        <v>0.66790544412429942</v>
      </c>
      <c r="L5" s="99">
        <v>0.69205678744352706</v>
      </c>
      <c r="M5" s="99">
        <v>0.65429477472271835</v>
      </c>
      <c r="N5" s="99">
        <v>0.63330246588511974</v>
      </c>
      <c r="O5" s="99">
        <v>0.63057948246570383</v>
      </c>
      <c r="P5" s="99">
        <v>0.64606153579749315</v>
      </c>
      <c r="Q5" s="99">
        <v>0.63482497525319759</v>
      </c>
      <c r="R5" s="99">
        <v>0.62609649182398408</v>
      </c>
      <c r="S5" s="99">
        <v>0.75366366738934476</v>
      </c>
      <c r="T5" s="99">
        <v>0.72957623442110786</v>
      </c>
      <c r="U5" s="99">
        <v>0.71097563610039272</v>
      </c>
      <c r="V5" s="99">
        <v>0.70447243963624528</v>
      </c>
      <c r="W5" s="99">
        <v>0.70571926210431712</v>
      </c>
      <c r="X5" s="99">
        <v>0.62551760366926856</v>
      </c>
      <c r="Y5" s="99">
        <v>0.65735601512718778</v>
      </c>
      <c r="Z5" s="99">
        <v>0.67757936855322454</v>
      </c>
      <c r="AA5" s="99">
        <v>0.67343141444830834</v>
      </c>
      <c r="AB5" s="99">
        <v>0.66226023504781817</v>
      </c>
      <c r="AC5" s="99">
        <v>0.64693290747254018</v>
      </c>
      <c r="AD5" s="5"/>
      <c r="AE5" s="5"/>
      <c r="AF5" s="5"/>
    </row>
    <row r="6" spans="1:32" s="6" customFormat="1" ht="30" customHeight="1" x14ac:dyDescent="0.25">
      <c r="A6" s="1"/>
      <c r="B6" s="1"/>
      <c r="C6" s="2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5"/>
      <c r="AE6" s="5"/>
      <c r="AF6" s="5"/>
    </row>
    <row r="7" spans="1:32" s="6" customFormat="1" ht="30" customHeight="1" x14ac:dyDescent="0.25">
      <c r="A7" s="1" t="s">
        <v>212</v>
      </c>
      <c r="B7" s="1"/>
      <c r="C7" s="2"/>
      <c r="D7" s="114"/>
      <c r="E7" s="114"/>
      <c r="F7" s="114"/>
      <c r="G7" s="114"/>
      <c r="H7" s="114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5"/>
      <c r="AE7" s="5"/>
      <c r="AF7" s="5"/>
    </row>
    <row r="8" spans="1:32" s="105" customFormat="1" ht="30" customHeight="1" x14ac:dyDescent="0.2">
      <c r="A8" s="107" t="s">
        <v>213</v>
      </c>
      <c r="B8" s="107"/>
      <c r="C8" s="108">
        <v>80.03</v>
      </c>
      <c r="D8" s="109">
        <v>75.63</v>
      </c>
      <c r="E8" s="109">
        <v>77.5</v>
      </c>
      <c r="F8" s="109">
        <v>78.78</v>
      </c>
      <c r="G8" s="109">
        <v>80.03</v>
      </c>
      <c r="H8" s="110">
        <v>81.709999999999994</v>
      </c>
      <c r="I8" s="110">
        <v>83.98</v>
      </c>
      <c r="J8" s="110">
        <v>85.48</v>
      </c>
      <c r="K8" s="110">
        <v>87.04</v>
      </c>
      <c r="L8" s="110">
        <v>90.95</v>
      </c>
      <c r="M8" s="110">
        <v>90.9</v>
      </c>
      <c r="N8" s="110">
        <v>92.89</v>
      </c>
      <c r="O8" s="110">
        <v>96.17</v>
      </c>
      <c r="P8" s="110">
        <v>98.9</v>
      </c>
      <c r="Q8" s="110">
        <v>100</v>
      </c>
      <c r="R8" s="110">
        <v>100.34</v>
      </c>
      <c r="S8" s="110">
        <v>100.9</v>
      </c>
      <c r="T8" s="110">
        <v>102.89</v>
      </c>
      <c r="U8" s="110">
        <v>105.08</v>
      </c>
      <c r="V8" s="110">
        <v>107.24</v>
      </c>
      <c r="W8" s="110">
        <v>108.78</v>
      </c>
      <c r="X8" s="110">
        <v>109.59</v>
      </c>
      <c r="Y8" s="110">
        <v>112.26</v>
      </c>
      <c r="Z8" s="110">
        <v>123.03</v>
      </c>
      <c r="AA8" s="110">
        <v>128.02000000000001</v>
      </c>
      <c r="AB8" s="110">
        <v>132.04</v>
      </c>
      <c r="AC8" s="110">
        <v>134.94999999999999</v>
      </c>
      <c r="AD8" s="106"/>
      <c r="AE8" s="106"/>
      <c r="AF8" s="106"/>
    </row>
    <row r="9" spans="1:32" s="6" customFormat="1" ht="30" customHeight="1" x14ac:dyDescent="0.2">
      <c r="A9" s="111" t="s">
        <v>214</v>
      </c>
      <c r="B9" s="111"/>
      <c r="C9" s="112"/>
      <c r="D9" s="113">
        <f>$AC8/D8</f>
        <v>1.7843448367050112</v>
      </c>
      <c r="E9" s="113">
        <f t="shared" ref="E9:AB9" si="3">$AC8/E8</f>
        <v>1.7412903225806451</v>
      </c>
      <c r="F9" s="113">
        <f t="shared" si="3"/>
        <v>1.7129982228992129</v>
      </c>
      <c r="G9" s="113">
        <f t="shared" si="3"/>
        <v>1.6862426590028738</v>
      </c>
      <c r="H9" s="113">
        <f t="shared" si="3"/>
        <v>1.6515726349284052</v>
      </c>
      <c r="I9" s="113">
        <f t="shared" si="3"/>
        <v>1.6069302214813048</v>
      </c>
      <c r="J9" s="113">
        <f t="shared" si="3"/>
        <v>1.5787318671034158</v>
      </c>
      <c r="K9" s="113">
        <f t="shared" si="3"/>
        <v>1.5504365808823526</v>
      </c>
      <c r="L9" s="113">
        <f t="shared" si="3"/>
        <v>1.4837822979659152</v>
      </c>
      <c r="M9" s="113">
        <f t="shared" si="3"/>
        <v>1.4845984598459845</v>
      </c>
      <c r="N9" s="113">
        <f t="shared" si="3"/>
        <v>1.4527936268704917</v>
      </c>
      <c r="O9" s="113">
        <f t="shared" si="3"/>
        <v>1.4032442549651658</v>
      </c>
      <c r="P9" s="113">
        <f t="shared" si="3"/>
        <v>1.364509605662285</v>
      </c>
      <c r="Q9" s="113">
        <f t="shared" si="3"/>
        <v>1.3494999999999999</v>
      </c>
      <c r="R9" s="113">
        <f t="shared" si="3"/>
        <v>1.3449272473589793</v>
      </c>
      <c r="S9" s="113">
        <f t="shared" si="3"/>
        <v>1.3374628344895936</v>
      </c>
      <c r="T9" s="113">
        <f t="shared" si="3"/>
        <v>1.3115949071824278</v>
      </c>
      <c r="U9" s="113">
        <f t="shared" si="3"/>
        <v>1.2842596117244003</v>
      </c>
      <c r="V9" s="113">
        <f t="shared" si="3"/>
        <v>1.2583923908989183</v>
      </c>
      <c r="W9" s="113">
        <f t="shared" si="3"/>
        <v>1.2405773120058834</v>
      </c>
      <c r="X9" s="113">
        <f t="shared" si="3"/>
        <v>1.2314079751802169</v>
      </c>
      <c r="Y9" s="113">
        <f t="shared" si="3"/>
        <v>1.202120078389453</v>
      </c>
      <c r="Z9" s="113">
        <f t="shared" si="3"/>
        <v>1.0968869381451678</v>
      </c>
      <c r="AA9" s="113">
        <f t="shared" si="3"/>
        <v>1.0541321668489296</v>
      </c>
      <c r="AB9" s="113">
        <f t="shared" si="3"/>
        <v>1.022038776128446</v>
      </c>
      <c r="AC9" s="113">
        <f>$AC8/AC8</f>
        <v>1</v>
      </c>
      <c r="AD9" s="5"/>
      <c r="AE9" s="5"/>
      <c r="AF9" s="5"/>
    </row>
    <row r="10" spans="1:32" s="6" customFormat="1" ht="30" customHeight="1" x14ac:dyDescent="0.2">
      <c r="A10" s="111" t="s">
        <v>215</v>
      </c>
      <c r="B10" s="111"/>
      <c r="C10" s="112"/>
      <c r="D10" s="113">
        <f t="shared" ref="D10:AC10" si="4">D84*D9</f>
        <v>5880309.7065800605</v>
      </c>
      <c r="E10" s="113">
        <f t="shared" si="4"/>
        <v>5995486.6411774186</v>
      </c>
      <c r="F10" s="113">
        <f t="shared" si="4"/>
        <v>6029367.3968018154</v>
      </c>
      <c r="G10" s="113">
        <f t="shared" si="4"/>
        <v>6179449.9990996812</v>
      </c>
      <c r="H10" s="113">
        <f t="shared" si="4"/>
        <v>6474228.138837561</v>
      </c>
      <c r="I10" s="113">
        <f t="shared" si="4"/>
        <v>6546568.2404868053</v>
      </c>
      <c r="J10" s="113">
        <f t="shared" si="4"/>
        <v>6832255.8875525957</v>
      </c>
      <c r="K10" s="113">
        <f t="shared" si="4"/>
        <v>7011141.7088822601</v>
      </c>
      <c r="L10" s="113">
        <f t="shared" si="4"/>
        <v>7721754.3196853027</v>
      </c>
      <c r="M10" s="113">
        <f t="shared" si="4"/>
        <v>8241272.2816890348</v>
      </c>
      <c r="N10" s="113">
        <f t="shared" si="4"/>
        <v>8509218.3755465336</v>
      </c>
      <c r="O10" s="113">
        <f t="shared" si="4"/>
        <v>8666157.1595917959</v>
      </c>
      <c r="P10" s="113">
        <f t="shared" si="4"/>
        <v>8523070.1236338764</v>
      </c>
      <c r="Q10" s="113">
        <f t="shared" si="4"/>
        <v>8766841.5173331108</v>
      </c>
      <c r="R10" s="113">
        <f t="shared" si="4"/>
        <v>9112380.5443442296</v>
      </c>
      <c r="S10" s="113">
        <f t="shared" si="4"/>
        <v>8111699.3398087211</v>
      </c>
      <c r="T10" s="113">
        <f t="shared" si="4"/>
        <v>8051892.5644973414</v>
      </c>
      <c r="U10" s="113">
        <f t="shared" si="4"/>
        <v>8578601.1403939854</v>
      </c>
      <c r="V10" s="113">
        <f t="shared" si="4"/>
        <v>8728500.5824715588</v>
      </c>
      <c r="W10" s="113">
        <f t="shared" si="4"/>
        <v>8925407.445610866</v>
      </c>
      <c r="X10" s="113">
        <f t="shared" si="4"/>
        <v>13338311.065001713</v>
      </c>
      <c r="Y10" s="113">
        <f t="shared" si="4"/>
        <v>11847267.470689725</v>
      </c>
      <c r="Z10" s="113">
        <f t="shared" si="4"/>
        <v>10420527.315093724</v>
      </c>
      <c r="AA10" s="113">
        <f t="shared" si="4"/>
        <v>9836636.4310367834</v>
      </c>
      <c r="AB10" s="113">
        <f t="shared" si="4"/>
        <v>10592765.344067805</v>
      </c>
      <c r="AC10" s="113">
        <f t="shared" si="4"/>
        <v>10962656.680808512</v>
      </c>
      <c r="AD10" s="5"/>
      <c r="AE10" s="5"/>
      <c r="AF10" s="5"/>
    </row>
    <row r="11" spans="1:32" s="6" customFormat="1" ht="30" customHeight="1" x14ac:dyDescent="0.2">
      <c r="A11" s="111" t="s">
        <v>216</v>
      </c>
      <c r="B11" s="111"/>
      <c r="C11" s="112"/>
      <c r="D11" s="113">
        <f t="shared" ref="D11:AC11" si="5">D23*D9</f>
        <v>3824215.2412138041</v>
      </c>
      <c r="E11" s="113">
        <f t="shared" si="5"/>
        <v>3874241.4853935484</v>
      </c>
      <c r="F11" s="113">
        <f t="shared" si="5"/>
        <v>3962341.3159807329</v>
      </c>
      <c r="G11" s="113">
        <f t="shared" si="5"/>
        <v>3984163.9074064414</v>
      </c>
      <c r="H11" s="113">
        <f t="shared" si="5"/>
        <v>4076040.9400886428</v>
      </c>
      <c r="I11" s="113">
        <f t="shared" si="5"/>
        <v>4180430.2149476064</v>
      </c>
      <c r="J11" s="113">
        <f t="shared" si="5"/>
        <v>4321138.6494403714</v>
      </c>
      <c r="K11" s="113">
        <f t="shared" si="5"/>
        <v>4425839.1881968044</v>
      </c>
      <c r="L11" s="113">
        <f t="shared" si="5"/>
        <v>4814845.834103832</v>
      </c>
      <c r="M11" s="113">
        <f t="shared" si="5"/>
        <v>5070395.6427739272</v>
      </c>
      <c r="N11" s="113">
        <f t="shared" si="5"/>
        <v>5135709.8884664644</v>
      </c>
      <c r="O11" s="113">
        <f t="shared" si="5"/>
        <v>5054806.0246326774</v>
      </c>
      <c r="P11" s="113">
        <f t="shared" si="5"/>
        <v>5112337.0172007065</v>
      </c>
      <c r="Q11" s="113">
        <f t="shared" si="5"/>
        <v>5286644.3402737202</v>
      </c>
      <c r="R11" s="113">
        <f t="shared" si="5"/>
        <v>5300928.1006178986</v>
      </c>
      <c r="S11" s="113">
        <f t="shared" si="5"/>
        <v>5609475.0519415261</v>
      </c>
      <c r="T11" s="113">
        <f t="shared" si="5"/>
        <v>5642083.7921882607</v>
      </c>
      <c r="U11" s="113">
        <f t="shared" si="5"/>
        <v>5639107.7034516549</v>
      </c>
      <c r="V11" s="113">
        <f t="shared" si="5"/>
        <v>5644868.677209531</v>
      </c>
      <c r="W11" s="113">
        <f t="shared" si="5"/>
        <v>5666776.9475390697</v>
      </c>
      <c r="X11" s="113">
        <f t="shared" si="5"/>
        <v>5242966.16646198</v>
      </c>
      <c r="Y11" s="113">
        <f t="shared" si="5"/>
        <v>5621815.0291970316</v>
      </c>
      <c r="Z11" s="113">
        <f t="shared" si="5"/>
        <v>5312926.3854349954</v>
      </c>
      <c r="AA11" s="113">
        <f t="shared" si="5"/>
        <v>5622449.8985700607</v>
      </c>
      <c r="AB11" s="113">
        <f t="shared" si="5"/>
        <v>5751807.8508094735</v>
      </c>
      <c r="AC11" s="113">
        <f t="shared" si="5"/>
        <v>5751656.1980000008</v>
      </c>
      <c r="AD11" s="5"/>
      <c r="AE11" s="5"/>
      <c r="AF11" s="5"/>
    </row>
    <row r="12" spans="1:32" s="6" customFormat="1" ht="30" customHeight="1" x14ac:dyDescent="0.2">
      <c r="A12" s="111" t="s">
        <v>217</v>
      </c>
      <c r="B12" s="111"/>
      <c r="C12" s="112"/>
      <c r="D12" s="113">
        <f t="shared" ref="D12:AC12" si="6">D68*D9</f>
        <v>5443316.1707444135</v>
      </c>
      <c r="E12" s="113">
        <f t="shared" si="6"/>
        <v>5606627.6328451606</v>
      </c>
      <c r="F12" s="113">
        <f t="shared" si="6"/>
        <v>5627092.5350564411</v>
      </c>
      <c r="G12" s="113">
        <f t="shared" si="6"/>
        <v>5805880.5107201794</v>
      </c>
      <c r="H12" s="113">
        <f t="shared" si="6"/>
        <v>5951702.3220408885</v>
      </c>
      <c r="I12" s="113">
        <f t="shared" si="6"/>
        <v>5976005.6090595191</v>
      </c>
      <c r="J12" s="113">
        <f t="shared" si="6"/>
        <v>6092183.3592499755</v>
      </c>
      <c r="K12" s="113">
        <f t="shared" si="6"/>
        <v>6380988.9527721321</v>
      </c>
      <c r="L12" s="113">
        <f t="shared" si="6"/>
        <v>4762925.9307558546</v>
      </c>
      <c r="M12" s="113">
        <f t="shared" si="6"/>
        <v>5074213.0722833388</v>
      </c>
      <c r="N12" s="113">
        <f t="shared" si="6"/>
        <v>5169170.5955999363</v>
      </c>
      <c r="O12" s="113">
        <f t="shared" si="6"/>
        <v>5236206.4734418215</v>
      </c>
      <c r="P12" s="113">
        <f t="shared" si="6"/>
        <v>5325640.9698331645</v>
      </c>
      <c r="Q12" s="113">
        <f t="shared" si="6"/>
        <v>5463564.74725815</v>
      </c>
      <c r="R12" s="113">
        <f t="shared" si="6"/>
        <v>5320420.0357240373</v>
      </c>
      <c r="S12" s="113">
        <f t="shared" si="6"/>
        <v>5047638.4833077304</v>
      </c>
      <c r="T12" s="113">
        <f t="shared" si="6"/>
        <v>5177280.1869588876</v>
      </c>
      <c r="U12" s="113">
        <f t="shared" si="6"/>
        <v>5305302.0025256937</v>
      </c>
      <c r="V12" s="113">
        <f t="shared" si="6"/>
        <v>5426276.4394405084</v>
      </c>
      <c r="W12" s="113">
        <f t="shared" si="6"/>
        <v>5544295.6650707861</v>
      </c>
      <c r="X12" s="113">
        <f t="shared" si="6"/>
        <v>9844243.65594377</v>
      </c>
      <c r="Y12" s="113">
        <f t="shared" si="6"/>
        <v>8284505.2836231831</v>
      </c>
      <c r="Z12" s="113">
        <f t="shared" si="6"/>
        <v>6081319.5116791883</v>
      </c>
      <c r="AA12" s="113">
        <f t="shared" si="6"/>
        <v>6337226.4417960979</v>
      </c>
      <c r="AB12" s="113">
        <f t="shared" si="6"/>
        <v>6666879.442566013</v>
      </c>
      <c r="AC12" s="113">
        <f t="shared" si="6"/>
        <v>6880231.9674425861</v>
      </c>
      <c r="AD12" s="5"/>
      <c r="AE12" s="5"/>
      <c r="AF12" s="5"/>
    </row>
    <row r="13" spans="1:32" s="6" customFormat="1" ht="30" customHeight="1" x14ac:dyDescent="0.2">
      <c r="A13" s="111" t="s">
        <v>218</v>
      </c>
      <c r="B13" s="111"/>
      <c r="C13" s="112"/>
      <c r="D13" s="113">
        <f t="shared" ref="D13:AC13" si="7">D79*D9</f>
        <v>165399.54129974879</v>
      </c>
      <c r="E13" s="113">
        <f t="shared" si="7"/>
        <v>166519.59354838709</v>
      </c>
      <c r="F13" s="113">
        <f t="shared" si="7"/>
        <v>166689.28757298805</v>
      </c>
      <c r="G13" s="113">
        <f t="shared" si="7"/>
        <v>166445.64038485568</v>
      </c>
      <c r="H13" s="113">
        <f t="shared" si="7"/>
        <v>164456.81667421368</v>
      </c>
      <c r="I13" s="113">
        <f t="shared" si="7"/>
        <v>162471.39736187184</v>
      </c>
      <c r="J13" s="113">
        <f t="shared" si="7"/>
        <v>163079.97228532989</v>
      </c>
      <c r="K13" s="113">
        <f t="shared" si="7"/>
        <v>165438.05315199905</v>
      </c>
      <c r="L13" s="113">
        <f t="shared" si="7"/>
        <v>2827927.0030471454</v>
      </c>
      <c r="M13" s="113">
        <f t="shared" si="7"/>
        <v>3034496.4057085626</v>
      </c>
      <c r="N13" s="113">
        <f t="shared" si="7"/>
        <v>3212728.616070034</v>
      </c>
      <c r="O13" s="113">
        <f t="shared" si="7"/>
        <v>3303927.8649001764</v>
      </c>
      <c r="P13" s="113">
        <f t="shared" si="7"/>
        <v>3071696.0393230529</v>
      </c>
      <c r="Q13" s="113">
        <f t="shared" si="7"/>
        <v>3176847.7464304995</v>
      </c>
      <c r="R13" s="113">
        <f t="shared" si="7"/>
        <v>3285011.9059931226</v>
      </c>
      <c r="S13" s="113">
        <f t="shared" si="7"/>
        <v>2920985.1866476713</v>
      </c>
      <c r="T13" s="113">
        <f t="shared" si="7"/>
        <v>2752644.2593136514</v>
      </c>
      <c r="U13" s="113">
        <f t="shared" si="7"/>
        <v>3146235.9687828314</v>
      </c>
      <c r="V13" s="113">
        <f t="shared" si="7"/>
        <v>3170753.5086460277</v>
      </c>
      <c r="W13" s="113">
        <f t="shared" si="7"/>
        <v>3229296.0823602686</v>
      </c>
      <c r="X13" s="113">
        <f t="shared" si="7"/>
        <v>3336732.9059165972</v>
      </c>
      <c r="Y13" s="113">
        <f t="shared" si="7"/>
        <v>3395993.4853246743</v>
      </c>
      <c r="Z13" s="113">
        <f t="shared" si="7"/>
        <v>3396742.4317511986</v>
      </c>
      <c r="AA13" s="113">
        <f t="shared" si="7"/>
        <v>3319539.5140017178</v>
      </c>
      <c r="AB13" s="113">
        <f t="shared" si="7"/>
        <v>3479026.7230445319</v>
      </c>
      <c r="AC13" s="113">
        <f t="shared" si="7"/>
        <v>3603257.4870000002</v>
      </c>
      <c r="AD13" s="5"/>
      <c r="AE13" s="5"/>
      <c r="AF13" s="5"/>
    </row>
    <row r="14" spans="1:32" s="13" customFormat="1" ht="24.95" hidden="1" customHeight="1" x14ac:dyDescent="0.2">
      <c r="A14" s="7"/>
      <c r="B14" s="8"/>
      <c r="C14" s="9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2"/>
      <c r="AE14" s="12"/>
      <c r="AF14" s="12"/>
    </row>
    <row r="15" spans="1:32" s="13" customFormat="1" ht="24.95" hidden="1" customHeight="1" x14ac:dyDescent="0.2">
      <c r="A15" s="7"/>
      <c r="B15" s="8"/>
      <c r="C15" s="9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2"/>
      <c r="AE15" s="12"/>
      <c r="AF15" s="12"/>
    </row>
    <row r="16" spans="1:32" s="13" customFormat="1" ht="24.95" hidden="1" customHeight="1" x14ac:dyDescent="0.2">
      <c r="A16" s="7"/>
      <c r="B16" s="8"/>
      <c r="C16" s="9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2"/>
      <c r="AE16" s="12"/>
      <c r="AF16" s="12"/>
    </row>
    <row r="17" spans="1:57" s="15" customFormat="1" ht="12.95" hidden="1" customHeight="1" x14ac:dyDescent="0.2">
      <c r="A17" s="14"/>
      <c r="B17" s="14"/>
      <c r="D17" s="16" t="s">
        <v>2</v>
      </c>
      <c r="E17" s="16" t="s">
        <v>3</v>
      </c>
      <c r="F17" s="16"/>
      <c r="G17" s="16" t="s">
        <v>4</v>
      </c>
      <c r="AD17" s="17"/>
      <c r="AE17" s="17"/>
      <c r="AF17" s="17"/>
    </row>
    <row r="18" spans="1:57" s="15" customFormat="1" ht="12.95" hidden="1" customHeight="1" x14ac:dyDescent="0.2">
      <c r="A18" s="14"/>
      <c r="B18" s="14"/>
      <c r="D18" s="16" t="s">
        <v>5</v>
      </c>
      <c r="E18" s="16" t="s">
        <v>5</v>
      </c>
      <c r="F18" s="16" t="s">
        <v>5</v>
      </c>
      <c r="G18" s="16" t="s">
        <v>5</v>
      </c>
      <c r="H18" s="16" t="s">
        <v>5</v>
      </c>
      <c r="I18" s="16" t="s">
        <v>5</v>
      </c>
      <c r="J18" s="16" t="s">
        <v>5</v>
      </c>
      <c r="K18" s="16" t="s">
        <v>5</v>
      </c>
      <c r="L18" s="16" t="s">
        <v>5</v>
      </c>
      <c r="M18" s="16" t="s">
        <v>5</v>
      </c>
      <c r="N18" s="16" t="s">
        <v>5</v>
      </c>
      <c r="O18" s="16" t="s">
        <v>5</v>
      </c>
      <c r="P18" s="16" t="s">
        <v>5</v>
      </c>
      <c r="Q18" s="16" t="s">
        <v>5</v>
      </c>
      <c r="R18" s="16" t="s">
        <v>5</v>
      </c>
      <c r="S18" s="16" t="s">
        <v>5</v>
      </c>
      <c r="T18" s="16" t="s">
        <v>5</v>
      </c>
      <c r="U18" s="16" t="s">
        <v>5</v>
      </c>
      <c r="V18" s="16" t="s">
        <v>5</v>
      </c>
      <c r="W18" s="16" t="s">
        <v>5</v>
      </c>
      <c r="X18" s="16" t="s">
        <v>5</v>
      </c>
      <c r="Y18" s="16" t="s">
        <v>5</v>
      </c>
      <c r="Z18" s="16" t="s">
        <v>5</v>
      </c>
      <c r="AA18" s="16" t="s">
        <v>5</v>
      </c>
      <c r="AB18" s="16" t="s">
        <v>6</v>
      </c>
      <c r="AC18" s="16" t="s">
        <v>6</v>
      </c>
      <c r="AD18" s="17"/>
      <c r="AE18" s="17"/>
      <c r="AF18" s="17"/>
    </row>
    <row r="19" spans="1:57" s="15" customFormat="1" ht="12.95" hidden="1" customHeight="1" thickBot="1" x14ac:dyDescent="0.25">
      <c r="A19" s="14"/>
      <c r="B19" s="14"/>
      <c r="D19" s="16" t="s">
        <v>7</v>
      </c>
      <c r="E19" s="16" t="s">
        <v>8</v>
      </c>
      <c r="F19" s="16" t="s">
        <v>9</v>
      </c>
      <c r="G19" s="16" t="s">
        <v>10</v>
      </c>
      <c r="H19" s="16" t="s">
        <v>11</v>
      </c>
      <c r="I19" s="16" t="s">
        <v>12</v>
      </c>
      <c r="J19" s="16" t="s">
        <v>13</v>
      </c>
      <c r="K19" s="16" t="s">
        <v>14</v>
      </c>
      <c r="L19" s="16" t="s">
        <v>15</v>
      </c>
      <c r="M19" s="16" t="s">
        <v>16</v>
      </c>
      <c r="N19" s="16" t="s">
        <v>17</v>
      </c>
      <c r="O19" s="16" t="s">
        <v>18</v>
      </c>
      <c r="P19" s="16" t="s">
        <v>19</v>
      </c>
      <c r="Q19" s="16" t="s">
        <v>20</v>
      </c>
      <c r="R19" s="16" t="s">
        <v>21</v>
      </c>
      <c r="S19" s="16" t="s">
        <v>22</v>
      </c>
      <c r="T19" s="16" t="s">
        <v>23</v>
      </c>
      <c r="U19" s="16" t="s">
        <v>24</v>
      </c>
      <c r="V19" s="16" t="s">
        <v>25</v>
      </c>
      <c r="W19" s="16" t="s">
        <v>26</v>
      </c>
      <c r="X19" s="16" t="s">
        <v>27</v>
      </c>
      <c r="Y19" s="16" t="s">
        <v>28</v>
      </c>
      <c r="Z19" s="16" t="s">
        <v>29</v>
      </c>
      <c r="AA19" s="16" t="s">
        <v>30</v>
      </c>
      <c r="AB19" s="16" t="s">
        <v>31</v>
      </c>
      <c r="AC19" s="16" t="s">
        <v>32</v>
      </c>
      <c r="BC19" s="17"/>
      <c r="BD19" s="17"/>
      <c r="BE19" s="17"/>
    </row>
    <row r="20" spans="1:57" s="15" customFormat="1" ht="28.9" customHeight="1" x14ac:dyDescent="0.2">
      <c r="A20" s="14"/>
      <c r="B20" s="14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BC20" s="17"/>
      <c r="BD20" s="17"/>
      <c r="BE20" s="17"/>
    </row>
    <row r="21" spans="1:57" s="15" customFormat="1" ht="35.450000000000003" customHeight="1" thickBot="1" x14ac:dyDescent="0.25">
      <c r="A21" s="14"/>
      <c r="B21" s="14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BC21" s="17"/>
      <c r="BD21" s="17"/>
      <c r="BE21" s="17"/>
    </row>
    <row r="22" spans="1:57" s="21" customFormat="1" ht="30" customHeight="1" x14ac:dyDescent="0.2">
      <c r="A22" s="18" t="s">
        <v>33</v>
      </c>
      <c r="B22" s="18" t="s">
        <v>34</v>
      </c>
      <c r="C22" s="19"/>
      <c r="D22" s="20" t="str">
        <f t="shared" ref="D22:AC22" si="8">CONCATENATE(" ",D19," ")</f>
        <v xml:space="preserve"> 2000 </v>
      </c>
      <c r="E22" s="20" t="str">
        <f t="shared" si="8"/>
        <v xml:space="preserve"> 2001 </v>
      </c>
      <c r="F22" s="20" t="str">
        <f t="shared" si="8"/>
        <v xml:space="preserve"> 2002 </v>
      </c>
      <c r="G22" s="20" t="str">
        <f t="shared" si="8"/>
        <v xml:space="preserve"> 2003 </v>
      </c>
      <c r="H22" s="20" t="str">
        <f t="shared" si="8"/>
        <v xml:space="preserve"> 2004 </v>
      </c>
      <c r="I22" s="20" t="str">
        <f t="shared" si="8"/>
        <v xml:space="preserve"> 2005 </v>
      </c>
      <c r="J22" s="20" t="str">
        <f t="shared" si="8"/>
        <v xml:space="preserve"> 2006 </v>
      </c>
      <c r="K22" s="20" t="str">
        <f t="shared" si="8"/>
        <v xml:space="preserve"> 2007 </v>
      </c>
      <c r="L22" s="20" t="str">
        <f t="shared" si="8"/>
        <v xml:space="preserve"> 2008 </v>
      </c>
      <c r="M22" s="20" t="str">
        <f t="shared" si="8"/>
        <v xml:space="preserve"> 2009 </v>
      </c>
      <c r="N22" s="20" t="str">
        <f t="shared" si="8"/>
        <v xml:space="preserve"> 2010 </v>
      </c>
      <c r="O22" s="20" t="str">
        <f t="shared" si="8"/>
        <v xml:space="preserve"> 2011 </v>
      </c>
      <c r="P22" s="20" t="str">
        <f t="shared" si="8"/>
        <v xml:space="preserve"> 2012 </v>
      </c>
      <c r="Q22" s="20" t="str">
        <f t="shared" si="8"/>
        <v xml:space="preserve"> 2013 </v>
      </c>
      <c r="R22" s="20" t="str">
        <f t="shared" si="8"/>
        <v xml:space="preserve"> 2014 </v>
      </c>
      <c r="S22" s="20" t="str">
        <f t="shared" si="8"/>
        <v xml:space="preserve"> 2015 </v>
      </c>
      <c r="T22" s="20" t="str">
        <f t="shared" si="8"/>
        <v xml:space="preserve"> 2016 </v>
      </c>
      <c r="U22" s="20" t="str">
        <f t="shared" si="8"/>
        <v xml:space="preserve"> 2017 </v>
      </c>
      <c r="V22" s="20" t="str">
        <f t="shared" si="8"/>
        <v xml:space="preserve"> 2018 </v>
      </c>
      <c r="W22" s="20" t="str">
        <f t="shared" si="8"/>
        <v xml:space="preserve"> 2019 </v>
      </c>
      <c r="X22" s="20" t="str">
        <f t="shared" si="8"/>
        <v xml:space="preserve"> 2020 </v>
      </c>
      <c r="Y22" s="20" t="str">
        <f t="shared" si="8"/>
        <v xml:space="preserve"> 2021 </v>
      </c>
      <c r="Z22" s="20" t="str">
        <f t="shared" si="8"/>
        <v xml:space="preserve"> 2022 </v>
      </c>
      <c r="AA22" s="20" t="str">
        <f t="shared" si="8"/>
        <v xml:space="preserve"> 2023 </v>
      </c>
      <c r="AB22" s="20" t="str">
        <f t="shared" si="8"/>
        <v xml:space="preserve"> 2024 </v>
      </c>
      <c r="AC22" s="20" t="str">
        <f t="shared" si="8"/>
        <v xml:space="preserve"> 2025 </v>
      </c>
      <c r="AD22" s="21" t="s">
        <v>211</v>
      </c>
      <c r="AE22" s="44" t="s">
        <v>210</v>
      </c>
      <c r="AF22" s="5"/>
    </row>
    <row r="23" spans="1:57" s="26" customFormat="1" ht="20.100000000000001" customHeight="1" x14ac:dyDescent="0.2">
      <c r="A23" s="22" t="s">
        <v>35</v>
      </c>
      <c r="B23" s="22" t="s">
        <v>36</v>
      </c>
      <c r="C23" s="23" t="s">
        <v>37</v>
      </c>
      <c r="D23" s="24">
        <v>2143204.14</v>
      </c>
      <c r="E23" s="24">
        <v>2224925.64</v>
      </c>
      <c r="F23" s="24">
        <v>2313102.9927600012</v>
      </c>
      <c r="G23" s="24">
        <v>2362746.48025</v>
      </c>
      <c r="H23" s="24">
        <v>2467975.5851400001</v>
      </c>
      <c r="I23" s="24">
        <v>2601500.7740000002</v>
      </c>
      <c r="J23" s="24">
        <v>2737094.7147400002</v>
      </c>
      <c r="K23" s="24">
        <v>2854576.0869999998</v>
      </c>
      <c r="L23" s="24">
        <v>3244981.3161300002</v>
      </c>
      <c r="M23" s="24">
        <v>3415331.3369999998</v>
      </c>
      <c r="N23" s="24">
        <v>3535058.1069999998</v>
      </c>
      <c r="O23" s="24">
        <v>3602228.1985100009</v>
      </c>
      <c r="P23" s="24">
        <v>3746647.8769999999</v>
      </c>
      <c r="Q23" s="24">
        <v>3917483.76456</v>
      </c>
      <c r="R23" s="24">
        <v>3941423.68</v>
      </c>
      <c r="S23" s="24">
        <v>4194116.5819999999</v>
      </c>
      <c r="T23" s="24">
        <v>4301696.9350000015</v>
      </c>
      <c r="U23" s="24">
        <v>4390940.6260000002</v>
      </c>
      <c r="V23" s="24">
        <v>4485777.8210000005</v>
      </c>
      <c r="W23" s="24">
        <v>4567854.7340000002</v>
      </c>
      <c r="X23" s="24">
        <v>4257700.3496300001</v>
      </c>
      <c r="Y23" s="24">
        <v>4676583.5878300024</v>
      </c>
      <c r="Z23" s="24">
        <v>4843640.8536499999</v>
      </c>
      <c r="AA23" s="24">
        <v>5333723.8682099991</v>
      </c>
      <c r="AB23" s="24">
        <v>5627778.5003399989</v>
      </c>
      <c r="AC23" s="24">
        <v>5751656.1980000008</v>
      </c>
      <c r="AD23" s="25">
        <v>2023</v>
      </c>
      <c r="AE23" s="25"/>
      <c r="AF23" s="25"/>
    </row>
    <row r="24" spans="1:57" s="30" customFormat="1" ht="15.95" customHeight="1" x14ac:dyDescent="0.2">
      <c r="A24" s="27" t="s">
        <v>38</v>
      </c>
      <c r="B24" s="27" t="s">
        <v>39</v>
      </c>
      <c r="C24" s="28" t="s">
        <v>40</v>
      </c>
      <c r="D24" s="29">
        <v>2048148.3589999999</v>
      </c>
      <c r="E24" s="29">
        <v>2116877</v>
      </c>
      <c r="F24" s="29">
        <v>2209389.9700000002</v>
      </c>
      <c r="G24" s="29">
        <v>2262705.2439999999</v>
      </c>
      <c r="H24" s="29">
        <v>2353083.1433600001</v>
      </c>
      <c r="I24" s="29">
        <v>2425876.9980000001</v>
      </c>
      <c r="J24" s="29">
        <v>2569430.6052100002</v>
      </c>
      <c r="K24" s="29">
        <v>2677901.1946700001</v>
      </c>
      <c r="L24" s="29">
        <v>3067203.23386</v>
      </c>
      <c r="M24" s="29">
        <v>3236344.4180000001</v>
      </c>
      <c r="N24" s="29">
        <v>3343015.4950000001</v>
      </c>
      <c r="O24" s="29">
        <v>3400758.1773100002</v>
      </c>
      <c r="P24" s="29">
        <v>3539142.355</v>
      </c>
      <c r="Q24" s="29">
        <v>3703140.7063699998</v>
      </c>
      <c r="R24" s="29">
        <v>3725451.8110000002</v>
      </c>
      <c r="S24" s="29">
        <v>3974883.4619999998</v>
      </c>
      <c r="T24" s="29">
        <v>4071313.8620000002</v>
      </c>
      <c r="U24" s="29">
        <v>4153075.9160000002</v>
      </c>
      <c r="V24" s="29">
        <v>4238045.9009999996</v>
      </c>
      <c r="W24" s="29">
        <v>4327094.6529999999</v>
      </c>
      <c r="X24" s="29">
        <v>4027787.3727000002</v>
      </c>
      <c r="Y24" s="29">
        <v>4438226.4675900014</v>
      </c>
      <c r="Z24" s="29">
        <v>4596331.5162800001</v>
      </c>
      <c r="AA24" s="29">
        <v>5047179.2479999997</v>
      </c>
      <c r="AB24" s="29">
        <v>5322335.3661499992</v>
      </c>
      <c r="AC24" s="29">
        <v>5422061.9110000003</v>
      </c>
      <c r="AD24" s="117">
        <f>AB24/AB$23</f>
        <v>0.94572580740845669</v>
      </c>
      <c r="AE24" s="5"/>
      <c r="AF24" s="5"/>
    </row>
    <row r="25" spans="1:57" s="30" customFormat="1" ht="15.95" customHeight="1" x14ac:dyDescent="0.2">
      <c r="A25" s="27" t="s">
        <v>41</v>
      </c>
      <c r="B25" s="27" t="s">
        <v>42</v>
      </c>
      <c r="C25" s="28" t="s">
        <v>43</v>
      </c>
      <c r="D25" s="29">
        <v>85208.441000000006</v>
      </c>
      <c r="E25" s="29">
        <v>99340</v>
      </c>
      <c r="F25" s="29">
        <v>95932.316000000006</v>
      </c>
      <c r="G25" s="29">
        <v>92272.388000000006</v>
      </c>
      <c r="H25" s="29">
        <v>106957.35799</v>
      </c>
      <c r="I25" s="29">
        <v>162784.39199999999</v>
      </c>
      <c r="J25" s="29">
        <v>152960.13156000001</v>
      </c>
      <c r="K25" s="29">
        <v>162433.16453000001</v>
      </c>
      <c r="L25" s="29">
        <v>172068.32260000001</v>
      </c>
      <c r="M25" s="29">
        <v>173004.17600000001</v>
      </c>
      <c r="N25" s="29">
        <v>185087.92300000001</v>
      </c>
      <c r="O25" s="29">
        <v>193006.84555</v>
      </c>
      <c r="P25" s="29">
        <v>199484.64199999999</v>
      </c>
      <c r="Q25" s="29">
        <v>201195.19130000001</v>
      </c>
      <c r="R25" s="29">
        <v>205323.345</v>
      </c>
      <c r="S25" s="29">
        <v>207944.247</v>
      </c>
      <c r="T25" s="29">
        <v>214029.49600000001</v>
      </c>
      <c r="U25" s="29">
        <v>219917.495</v>
      </c>
      <c r="V25" s="29">
        <v>225798.78599999999</v>
      </c>
      <c r="W25" s="29">
        <v>231753.851</v>
      </c>
      <c r="X25" s="29">
        <v>221874.38159</v>
      </c>
      <c r="Y25" s="29">
        <v>230898.40729999999</v>
      </c>
      <c r="Z25" s="29">
        <v>239638.02611000001</v>
      </c>
      <c r="AA25" s="29">
        <v>279678.59902000002</v>
      </c>
      <c r="AB25" s="29">
        <v>297899.92258999997</v>
      </c>
      <c r="AC25" s="29">
        <v>322394.28700000001</v>
      </c>
      <c r="AD25" s="117">
        <f t="shared" ref="AD25:AD29" si="9">AB25/AB$23</f>
        <v>5.2933839271037855E-2</v>
      </c>
      <c r="AE25" s="5"/>
      <c r="AF25" s="5"/>
    </row>
    <row r="26" spans="1:57" s="30" customFormat="1" ht="15.95" customHeight="1" x14ac:dyDescent="0.2">
      <c r="A26" s="27" t="s">
        <v>44</v>
      </c>
      <c r="B26" s="27" t="s">
        <v>45</v>
      </c>
      <c r="C26" s="28" t="s">
        <v>46</v>
      </c>
      <c r="D26" s="29">
        <v>6332.2100000000009</v>
      </c>
      <c r="E26" s="29">
        <v>6633.6399999999994</v>
      </c>
      <c r="F26" s="29">
        <v>6887.5297599999994</v>
      </c>
      <c r="G26" s="29">
        <v>7242.4922500000002</v>
      </c>
      <c r="H26" s="29">
        <v>7632.4336900000008</v>
      </c>
      <c r="I26" s="29">
        <v>7986</v>
      </c>
      <c r="J26" s="29">
        <v>8307</v>
      </c>
      <c r="K26" s="29">
        <v>8596</v>
      </c>
      <c r="L26" s="29" t="s">
        <v>47</v>
      </c>
      <c r="M26" s="29" t="s">
        <v>47</v>
      </c>
      <c r="N26" s="29" t="s">
        <v>47</v>
      </c>
      <c r="O26" s="29">
        <v>0</v>
      </c>
      <c r="P26" s="29" t="s">
        <v>47</v>
      </c>
      <c r="Q26" s="29" t="s">
        <v>47</v>
      </c>
      <c r="R26" s="29" t="s">
        <v>47</v>
      </c>
      <c r="S26" s="29" t="s">
        <v>47</v>
      </c>
      <c r="T26" s="29" t="s">
        <v>47</v>
      </c>
      <c r="U26" s="29" t="s">
        <v>47</v>
      </c>
      <c r="V26" s="29" t="s">
        <v>47</v>
      </c>
      <c r="W26" s="29" t="s">
        <v>47</v>
      </c>
      <c r="X26" s="29" t="s">
        <v>47</v>
      </c>
      <c r="Y26" s="29" t="s">
        <v>47</v>
      </c>
      <c r="Z26" s="29" t="s">
        <v>47</v>
      </c>
      <c r="AA26" s="29" t="s">
        <v>47</v>
      </c>
      <c r="AB26" s="29" t="s">
        <v>47</v>
      </c>
      <c r="AC26" s="29" t="s">
        <v>47</v>
      </c>
      <c r="AD26" s="117"/>
      <c r="AE26" s="5"/>
      <c r="AF26" s="5"/>
    </row>
    <row r="27" spans="1:57" s="30" customFormat="1" ht="15.95" customHeight="1" x14ac:dyDescent="0.2">
      <c r="A27" s="27" t="s">
        <v>48</v>
      </c>
      <c r="B27" s="27" t="s">
        <v>49</v>
      </c>
      <c r="C27" s="28" t="s">
        <v>50</v>
      </c>
      <c r="D27" s="29">
        <v>3515.13</v>
      </c>
      <c r="E27" s="29">
        <v>2075</v>
      </c>
      <c r="F27" s="29">
        <v>893.17700000000002</v>
      </c>
      <c r="G27" s="29">
        <v>526.35599999999999</v>
      </c>
      <c r="H27" s="29">
        <v>302.65010000000001</v>
      </c>
      <c r="I27" s="29">
        <v>149.191</v>
      </c>
      <c r="J27" s="29">
        <v>92.421719999999993</v>
      </c>
      <c r="K27" s="29">
        <v>43.034799999999997</v>
      </c>
      <c r="L27" s="29">
        <v>29.856030000000001</v>
      </c>
      <c r="M27" s="29">
        <v>11.858000000000001</v>
      </c>
      <c r="N27" s="29">
        <v>8.2479999999999993</v>
      </c>
      <c r="O27" s="29">
        <v>7.8883900000000002</v>
      </c>
      <c r="P27" s="29">
        <v>3.3810000000000002</v>
      </c>
      <c r="Q27" s="29">
        <v>3.0420799999999999</v>
      </c>
      <c r="R27" s="29">
        <v>4.4349999999999996</v>
      </c>
      <c r="S27" s="29">
        <v>1.4689999999999999</v>
      </c>
      <c r="T27" s="29">
        <v>1.891</v>
      </c>
      <c r="U27" s="29">
        <v>0.89100000000000001</v>
      </c>
      <c r="V27" s="29">
        <v>1.907</v>
      </c>
      <c r="W27" s="29">
        <v>1.0449999999999999</v>
      </c>
      <c r="X27" s="29">
        <v>0.18368000000000001</v>
      </c>
      <c r="Y27" s="29">
        <v>2.2408899999999998</v>
      </c>
      <c r="Z27" s="29">
        <v>0</v>
      </c>
      <c r="AA27" s="29">
        <v>0</v>
      </c>
      <c r="AB27" s="29" t="s">
        <v>47</v>
      </c>
      <c r="AC27" s="29" t="s">
        <v>47</v>
      </c>
      <c r="AD27" s="117"/>
      <c r="AE27" s="5"/>
      <c r="AF27" s="5"/>
    </row>
    <row r="28" spans="1:57" s="30" customFormat="1" ht="15.95" customHeight="1" x14ac:dyDescent="0.2">
      <c r="A28" s="27" t="s">
        <v>51</v>
      </c>
      <c r="B28" s="27" t="s">
        <v>52</v>
      </c>
      <c r="C28" s="28" t="s">
        <v>53</v>
      </c>
      <c r="D28" s="29" t="s">
        <v>47</v>
      </c>
      <c r="E28" s="29" t="s">
        <v>47</v>
      </c>
      <c r="F28" s="29" t="s">
        <v>47</v>
      </c>
      <c r="G28" s="29" t="s">
        <v>47</v>
      </c>
      <c r="H28" s="29" t="s">
        <v>47</v>
      </c>
      <c r="I28" s="29">
        <v>4704.1930000000002</v>
      </c>
      <c r="J28" s="29">
        <v>6304.5562499999996</v>
      </c>
      <c r="K28" s="29">
        <v>5602.6930000000002</v>
      </c>
      <c r="L28" s="29">
        <v>5679.9036400000014</v>
      </c>
      <c r="M28" s="29">
        <v>5970.8850000000002</v>
      </c>
      <c r="N28" s="29">
        <v>6946.4409999999998</v>
      </c>
      <c r="O28" s="29">
        <v>8455.2872599999992</v>
      </c>
      <c r="P28" s="29">
        <v>7972.6779999999999</v>
      </c>
      <c r="Q28" s="29">
        <v>7901.1257299999997</v>
      </c>
      <c r="R28" s="29">
        <v>7888.732</v>
      </c>
      <c r="S28" s="29">
        <v>8322.9089999999997</v>
      </c>
      <c r="T28" s="29">
        <v>8269.366</v>
      </c>
      <c r="U28" s="29">
        <v>8021.2269999999999</v>
      </c>
      <c r="V28" s="29">
        <v>7245.49</v>
      </c>
      <c r="W28" s="29">
        <v>5696.1369999999997</v>
      </c>
      <c r="X28" s="29">
        <v>4790.6732599999996</v>
      </c>
      <c r="Y28" s="29">
        <v>5227.5257699999993</v>
      </c>
      <c r="Z28" s="29">
        <v>5245.3931399999992</v>
      </c>
      <c r="AA28" s="29">
        <v>5482.4741100000001</v>
      </c>
      <c r="AB28" s="29">
        <v>5700.9078899999995</v>
      </c>
      <c r="AC28" s="29">
        <v>5800</v>
      </c>
      <c r="AD28" s="117">
        <f t="shared" si="9"/>
        <v>1.0129943617460393E-3</v>
      </c>
      <c r="AE28" s="5"/>
      <c r="AF28" s="5"/>
    </row>
    <row r="29" spans="1:57" s="30" customFormat="1" ht="15.95" customHeight="1" x14ac:dyDescent="0.2">
      <c r="A29" s="27" t="s">
        <v>54</v>
      </c>
      <c r="B29" s="27" t="s">
        <v>55</v>
      </c>
      <c r="C29" s="28" t="s">
        <v>56</v>
      </c>
      <c r="D29" s="29" t="s">
        <v>47</v>
      </c>
      <c r="E29" s="29" t="s">
        <v>47</v>
      </c>
      <c r="F29" s="29" t="s">
        <v>47</v>
      </c>
      <c r="G29" s="29" t="s">
        <v>47</v>
      </c>
      <c r="H29" s="29" t="s">
        <v>47</v>
      </c>
      <c r="I29" s="29" t="s">
        <v>47</v>
      </c>
      <c r="J29" s="29" t="s">
        <v>47</v>
      </c>
      <c r="K29" s="29" t="s">
        <v>47</v>
      </c>
      <c r="L29" s="29" t="s">
        <v>47</v>
      </c>
      <c r="M29" s="29" t="s">
        <v>47</v>
      </c>
      <c r="N29" s="29" t="s">
        <v>47</v>
      </c>
      <c r="O29" s="29" t="s">
        <v>47</v>
      </c>
      <c r="P29" s="29">
        <v>44.820999999999998</v>
      </c>
      <c r="Q29" s="29">
        <v>5243.6990800000003</v>
      </c>
      <c r="R29" s="29">
        <v>2755.357</v>
      </c>
      <c r="S29" s="29">
        <v>2964.4949999999999</v>
      </c>
      <c r="T29" s="29">
        <v>8082.32</v>
      </c>
      <c r="U29" s="29">
        <v>9925.0969999999998</v>
      </c>
      <c r="V29" s="29">
        <v>14685.736999999999</v>
      </c>
      <c r="W29" s="29">
        <v>3309.0479999999998</v>
      </c>
      <c r="X29" s="29">
        <v>3247.7384000000002</v>
      </c>
      <c r="Y29" s="29">
        <v>2228.9462800000001</v>
      </c>
      <c r="Z29" s="29">
        <v>2425.9181199999998</v>
      </c>
      <c r="AA29" s="29">
        <v>1383.5470800000001</v>
      </c>
      <c r="AB29" s="29">
        <v>1842.3037099999999</v>
      </c>
      <c r="AC29" s="29">
        <v>1400</v>
      </c>
      <c r="AD29" s="117">
        <f t="shared" si="9"/>
        <v>3.2735895875942849E-4</v>
      </c>
      <c r="AE29" s="5"/>
      <c r="AF29" s="5"/>
    </row>
    <row r="30" spans="1:57" s="26" customFormat="1" ht="15.95" customHeight="1" x14ac:dyDescent="0.2">
      <c r="A30" s="31" t="s">
        <v>57</v>
      </c>
      <c r="B30" s="31" t="s">
        <v>58</v>
      </c>
      <c r="C30" s="32" t="s">
        <v>59</v>
      </c>
      <c r="D30" s="33">
        <v>980639.51599999995</v>
      </c>
      <c r="E30" s="33">
        <v>1013012</v>
      </c>
      <c r="F30" s="33">
        <v>1028158.5</v>
      </c>
      <c r="G30" s="33">
        <v>1043957</v>
      </c>
      <c r="H30" s="33">
        <v>1062849</v>
      </c>
      <c r="I30" s="34">
        <v>1085286.5</v>
      </c>
      <c r="J30" s="34">
        <v>1103435</v>
      </c>
      <c r="K30" s="34">
        <v>1123834</v>
      </c>
      <c r="L30" s="34">
        <v>1248199</v>
      </c>
      <c r="M30" s="34">
        <v>1270904</v>
      </c>
      <c r="N30" s="33">
        <v>1518274</v>
      </c>
      <c r="O30" s="33">
        <v>1428957</v>
      </c>
      <c r="P30" s="33">
        <v>1757341</v>
      </c>
      <c r="Q30" s="33">
        <v>1899859</v>
      </c>
      <c r="R30" s="33">
        <v>1995743</v>
      </c>
      <c r="S30" s="33">
        <v>1383647</v>
      </c>
      <c r="T30" s="33">
        <v>1412721</v>
      </c>
      <c r="U30" s="33">
        <v>370147</v>
      </c>
      <c r="V30" s="33">
        <v>369156</v>
      </c>
      <c r="W30" s="33">
        <v>376678</v>
      </c>
      <c r="X30" s="33">
        <v>3915360</v>
      </c>
      <c r="Y30" s="33">
        <v>3189487</v>
      </c>
      <c r="Z30" s="33">
        <v>859981</v>
      </c>
      <c r="AA30" s="33">
        <v>1190870</v>
      </c>
      <c r="AB30" s="33">
        <v>935116</v>
      </c>
      <c r="AC30" s="33">
        <v>965327.92999999993</v>
      </c>
      <c r="AD30" s="100">
        <f>AC30/AC57</f>
        <v>9.2059225779148934E-2</v>
      </c>
      <c r="AE30" s="100">
        <v>9.3573577263098076E-2</v>
      </c>
      <c r="AF30" s="25" t="s">
        <v>208</v>
      </c>
    </row>
    <row r="31" spans="1:57" s="30" customFormat="1" ht="15.95" customHeight="1" x14ac:dyDescent="0.2">
      <c r="A31" s="27" t="s">
        <v>60</v>
      </c>
      <c r="B31" s="27" t="s">
        <v>61</v>
      </c>
      <c r="C31" s="28" t="s">
        <v>62</v>
      </c>
      <c r="D31" s="29">
        <v>980639.51599999995</v>
      </c>
      <c r="E31" s="29">
        <v>1013012</v>
      </c>
      <c r="F31" s="29">
        <v>1028158.5</v>
      </c>
      <c r="G31" s="29">
        <v>1043957</v>
      </c>
      <c r="H31" s="35">
        <v>1062849</v>
      </c>
      <c r="I31" s="35">
        <v>1085286.5</v>
      </c>
      <c r="J31" s="35">
        <v>1103435</v>
      </c>
      <c r="K31" s="35">
        <v>1123834</v>
      </c>
      <c r="L31" s="35">
        <v>1248199</v>
      </c>
      <c r="M31" s="35">
        <v>1270904</v>
      </c>
      <c r="N31" s="29">
        <v>1518274</v>
      </c>
      <c r="O31" s="29">
        <v>1428957</v>
      </c>
      <c r="P31" s="29">
        <v>1757341</v>
      </c>
      <c r="Q31" s="29">
        <v>1899859</v>
      </c>
      <c r="R31" s="29">
        <v>1995743</v>
      </c>
      <c r="S31" s="29">
        <v>1383647</v>
      </c>
      <c r="T31" s="29">
        <v>1412721</v>
      </c>
      <c r="U31" s="29">
        <v>370147</v>
      </c>
      <c r="V31" s="29">
        <v>369156</v>
      </c>
      <c r="W31" s="29">
        <v>376678</v>
      </c>
      <c r="X31" s="29">
        <v>3915360</v>
      </c>
      <c r="Y31" s="29">
        <v>3189487</v>
      </c>
      <c r="Z31" s="29">
        <v>859981</v>
      </c>
      <c r="AA31" s="29">
        <v>1190870</v>
      </c>
      <c r="AB31" s="29">
        <v>935116</v>
      </c>
      <c r="AC31" s="29">
        <v>965327.92999999993</v>
      </c>
      <c r="AD31" s="101"/>
      <c r="AE31" s="102"/>
      <c r="AF31" s="5"/>
    </row>
    <row r="32" spans="1:57" s="84" customFormat="1" ht="15.95" customHeight="1" x14ac:dyDescent="0.2">
      <c r="A32" s="80" t="s">
        <v>63</v>
      </c>
      <c r="B32" s="80" t="s">
        <v>64</v>
      </c>
      <c r="C32" s="81" t="s">
        <v>65</v>
      </c>
      <c r="D32" s="82">
        <v>980639.51599999995</v>
      </c>
      <c r="E32" s="82">
        <v>1013012</v>
      </c>
      <c r="F32" s="82">
        <v>1028158.5</v>
      </c>
      <c r="G32" s="82">
        <v>1043957</v>
      </c>
      <c r="H32" s="82">
        <v>1062849</v>
      </c>
      <c r="I32" s="82">
        <v>1085286.5</v>
      </c>
      <c r="J32" s="82">
        <v>1103435</v>
      </c>
      <c r="K32" s="82">
        <v>1123834</v>
      </c>
      <c r="L32" s="82">
        <v>1248199</v>
      </c>
      <c r="M32" s="82">
        <v>1270904</v>
      </c>
      <c r="N32" s="82">
        <v>1263036</v>
      </c>
      <c r="O32" s="82">
        <v>1316997</v>
      </c>
      <c r="P32" s="82">
        <v>1353206</v>
      </c>
      <c r="Q32" s="82">
        <v>1365993</v>
      </c>
      <c r="R32" s="82">
        <v>1378648</v>
      </c>
      <c r="S32" s="82">
        <v>1383647</v>
      </c>
      <c r="T32" s="82">
        <v>1412721</v>
      </c>
      <c r="U32" s="82">
        <v>370147</v>
      </c>
      <c r="V32" s="82">
        <v>369156</v>
      </c>
      <c r="W32" s="82">
        <v>376678</v>
      </c>
      <c r="X32" s="82">
        <v>378862</v>
      </c>
      <c r="Y32" s="82">
        <v>384086</v>
      </c>
      <c r="Z32" s="82">
        <v>423074</v>
      </c>
      <c r="AA32" s="82">
        <v>442705</v>
      </c>
      <c r="AB32" s="82">
        <v>457640</v>
      </c>
      <c r="AC32" s="82">
        <v>472947.93</v>
      </c>
      <c r="AD32" s="103"/>
      <c r="AE32" s="103"/>
      <c r="AF32" s="83"/>
    </row>
    <row r="33" spans="1:32" s="84" customFormat="1" ht="15.95" customHeight="1" x14ac:dyDescent="0.2">
      <c r="A33" s="80" t="s">
        <v>66</v>
      </c>
      <c r="B33" s="80" t="s">
        <v>67</v>
      </c>
      <c r="C33" s="81" t="s">
        <v>68</v>
      </c>
      <c r="D33" s="82" t="s">
        <v>47</v>
      </c>
      <c r="E33" s="82" t="s">
        <v>47</v>
      </c>
      <c r="F33" s="82" t="s">
        <v>47</v>
      </c>
      <c r="G33" s="82" t="s">
        <v>47</v>
      </c>
      <c r="H33" s="82" t="s">
        <v>47</v>
      </c>
      <c r="I33" s="82" t="s">
        <v>47</v>
      </c>
      <c r="J33" s="82" t="s">
        <v>47</v>
      </c>
      <c r="K33" s="82" t="s">
        <v>47</v>
      </c>
      <c r="L33" s="82" t="s">
        <v>47</v>
      </c>
      <c r="M33" s="82" t="s">
        <v>47</v>
      </c>
      <c r="N33" s="82">
        <v>255238</v>
      </c>
      <c r="O33" s="82">
        <v>111960</v>
      </c>
      <c r="P33" s="82">
        <v>404135</v>
      </c>
      <c r="Q33" s="82">
        <v>533866</v>
      </c>
      <c r="R33" s="82">
        <v>617095</v>
      </c>
      <c r="S33" s="82" t="s">
        <v>47</v>
      </c>
      <c r="T33" s="82">
        <v>0</v>
      </c>
      <c r="U33" s="82">
        <v>0</v>
      </c>
      <c r="V33" s="82">
        <v>0</v>
      </c>
      <c r="W33" s="82" t="s">
        <v>47</v>
      </c>
      <c r="X33" s="82">
        <v>3536498</v>
      </c>
      <c r="Y33" s="82">
        <v>2805401</v>
      </c>
      <c r="Z33" s="82">
        <v>436907</v>
      </c>
      <c r="AA33" s="82">
        <v>748165</v>
      </c>
      <c r="AB33" s="82">
        <v>477476</v>
      </c>
      <c r="AC33" s="82">
        <v>492380</v>
      </c>
      <c r="AD33" s="103"/>
      <c r="AE33" s="103"/>
      <c r="AF33" s="83"/>
    </row>
    <row r="34" spans="1:32" s="30" customFormat="1" ht="15.95" customHeight="1" x14ac:dyDescent="0.2">
      <c r="A34" s="27" t="s">
        <v>69</v>
      </c>
      <c r="B34" s="27" t="s">
        <v>70</v>
      </c>
      <c r="C34" s="28" t="s">
        <v>71</v>
      </c>
      <c r="D34" s="29" t="s">
        <v>47</v>
      </c>
      <c r="E34" s="29" t="s">
        <v>47</v>
      </c>
      <c r="F34" s="29" t="s">
        <v>47</v>
      </c>
      <c r="G34" s="29" t="s">
        <v>47</v>
      </c>
      <c r="H34" s="29" t="s">
        <v>47</v>
      </c>
      <c r="I34" s="29" t="s">
        <v>47</v>
      </c>
      <c r="J34" s="29" t="s">
        <v>47</v>
      </c>
      <c r="K34" s="29" t="s">
        <v>47</v>
      </c>
      <c r="L34" s="29" t="s">
        <v>47</v>
      </c>
      <c r="M34" s="29" t="s">
        <v>47</v>
      </c>
      <c r="N34" s="29" t="s">
        <v>47</v>
      </c>
      <c r="O34" s="29" t="s">
        <v>47</v>
      </c>
      <c r="P34" s="29" t="s">
        <v>47</v>
      </c>
      <c r="Q34" s="29" t="s">
        <v>47</v>
      </c>
      <c r="R34" s="29" t="s">
        <v>47</v>
      </c>
      <c r="S34" s="29" t="s">
        <v>47</v>
      </c>
      <c r="T34" s="29" t="s">
        <v>47</v>
      </c>
      <c r="U34" s="29" t="s">
        <v>47</v>
      </c>
      <c r="V34" s="29" t="s">
        <v>47</v>
      </c>
      <c r="W34" s="29" t="s">
        <v>47</v>
      </c>
      <c r="X34" s="29" t="s">
        <v>47</v>
      </c>
      <c r="Y34" s="29" t="s">
        <v>47</v>
      </c>
      <c r="Z34" s="29" t="s">
        <v>47</v>
      </c>
      <c r="AA34" s="29" t="s">
        <v>47</v>
      </c>
      <c r="AB34" s="29" t="s">
        <v>47</v>
      </c>
      <c r="AC34" s="29" t="s">
        <v>47</v>
      </c>
      <c r="AD34" s="101"/>
      <c r="AE34" s="101"/>
      <c r="AF34" s="5"/>
    </row>
    <row r="35" spans="1:32" s="26" customFormat="1" ht="15.95" customHeight="1" x14ac:dyDescent="0.2">
      <c r="A35" s="31" t="s">
        <v>72</v>
      </c>
      <c r="B35" s="31" t="s">
        <v>73</v>
      </c>
      <c r="C35" s="32" t="s">
        <v>74</v>
      </c>
      <c r="D35" s="33">
        <v>182791.72700000001</v>
      </c>
      <c r="E35" s="33">
        <v>117956</v>
      </c>
      <c r="F35" s="33">
        <v>146628.93033</v>
      </c>
      <c r="G35" s="33">
        <v>138452.33420000001</v>
      </c>
      <c r="H35" s="33">
        <v>270969.12961</v>
      </c>
      <c r="I35" s="33">
        <v>373811.74600000004</v>
      </c>
      <c r="J35" s="33">
        <v>460606.35279999999</v>
      </c>
      <c r="K35" s="33">
        <v>664721.01888000011</v>
      </c>
      <c r="L35" s="33">
        <v>804058.17298999999</v>
      </c>
      <c r="M35" s="33">
        <v>849269.76214999997</v>
      </c>
      <c r="N35" s="33">
        <v>952303.98138724046</v>
      </c>
      <c r="O35" s="33">
        <v>1115612.541551166</v>
      </c>
      <c r="P35" s="33">
        <v>936834.60400000005</v>
      </c>
      <c r="Q35" s="33">
        <v>963442.70019047789</v>
      </c>
      <c r="R35" s="33">
        <v>1000433.404</v>
      </c>
      <c r="S35" s="33">
        <v>674035.04916983948</v>
      </c>
      <c r="T35" s="33">
        <v>692360.20999999985</v>
      </c>
      <c r="U35" s="33">
        <v>2126194.0115073998</v>
      </c>
      <c r="V35" s="33">
        <v>2303952.6012380612</v>
      </c>
      <c r="W35" s="33">
        <v>2369800.1061037802</v>
      </c>
      <c r="X35" s="33">
        <v>2426827.2920508999</v>
      </c>
      <c r="Y35" s="33">
        <v>2838359.4249399998</v>
      </c>
      <c r="Z35" s="33">
        <v>2898546</v>
      </c>
      <c r="AA35" s="33">
        <v>3180687</v>
      </c>
      <c r="AB35" s="33">
        <v>3650902.3512769276</v>
      </c>
      <c r="AC35" s="33">
        <v>3706422.3598536295</v>
      </c>
      <c r="AD35" s="100">
        <f>AC35/AC57</f>
        <v>0.35346576251932471</v>
      </c>
      <c r="AE35" s="101">
        <v>0.21356734725736684</v>
      </c>
      <c r="AF35" s="25" t="s">
        <v>209</v>
      </c>
    </row>
    <row r="36" spans="1:32" s="30" customFormat="1" ht="15.95" customHeight="1" x14ac:dyDescent="0.2">
      <c r="A36" s="27" t="s">
        <v>75</v>
      </c>
      <c r="B36" s="27" t="s">
        <v>76</v>
      </c>
      <c r="C36" s="28" t="s">
        <v>77</v>
      </c>
      <c r="D36" s="29">
        <v>182791.72700000001</v>
      </c>
      <c r="E36" s="29">
        <v>117574</v>
      </c>
      <c r="F36" s="29">
        <v>142662.17877999999</v>
      </c>
      <c r="G36" s="29">
        <v>123127.00182999999</v>
      </c>
      <c r="H36" s="35">
        <v>246976.90402000002</v>
      </c>
      <c r="I36" s="35">
        <v>331820</v>
      </c>
      <c r="J36" s="29">
        <v>347105.22479999997</v>
      </c>
      <c r="K36" s="35">
        <v>535477.22658000002</v>
      </c>
      <c r="L36" s="35">
        <v>734342.48447000002</v>
      </c>
      <c r="M36" s="35">
        <v>778082.99451999995</v>
      </c>
      <c r="N36" s="29">
        <v>884241.88009074051</v>
      </c>
      <c r="O36" s="29">
        <v>1044409.69578</v>
      </c>
      <c r="P36" s="29">
        <v>858954</v>
      </c>
      <c r="Q36" s="29">
        <v>868887.34974047798</v>
      </c>
      <c r="R36" s="29">
        <v>896618.85000000009</v>
      </c>
      <c r="S36" s="29">
        <v>579441.33000000007</v>
      </c>
      <c r="T36" s="29">
        <v>551095.4</v>
      </c>
      <c r="U36" s="29">
        <v>1542532.0115074001</v>
      </c>
      <c r="V36" s="29">
        <v>1674066.9538380611</v>
      </c>
      <c r="W36" s="29">
        <v>1732710.1996869999</v>
      </c>
      <c r="X36" s="29">
        <v>1784863.9445512351</v>
      </c>
      <c r="Y36" s="29">
        <v>2146655</v>
      </c>
      <c r="Z36" s="29">
        <v>2195864</v>
      </c>
      <c r="AA36" s="29">
        <v>2381153</v>
      </c>
      <c r="AB36" s="29">
        <v>2468528</v>
      </c>
      <c r="AC36" s="29">
        <v>2573252.5313999997</v>
      </c>
      <c r="AD36" s="5"/>
      <c r="AE36" s="5"/>
      <c r="AF36" s="5"/>
    </row>
    <row r="37" spans="1:32" s="84" customFormat="1" ht="15.95" customHeight="1" x14ac:dyDescent="0.2">
      <c r="A37" s="85" t="s">
        <v>78</v>
      </c>
      <c r="B37" s="86" t="s">
        <v>79</v>
      </c>
      <c r="C37" s="81" t="s">
        <v>80</v>
      </c>
      <c r="D37" s="82">
        <v>182791.72700000001</v>
      </c>
      <c r="E37" s="82">
        <v>117574</v>
      </c>
      <c r="F37" s="82">
        <v>142662.17877999999</v>
      </c>
      <c r="G37" s="82">
        <v>123127.00182999999</v>
      </c>
      <c r="H37" s="87">
        <v>246945.12354</v>
      </c>
      <c r="I37" s="87">
        <v>331820</v>
      </c>
      <c r="J37" s="82">
        <v>347105.22479999997</v>
      </c>
      <c r="K37" s="87">
        <v>535477.22658000002</v>
      </c>
      <c r="L37" s="87">
        <v>676497.48447000002</v>
      </c>
      <c r="M37" s="87">
        <v>685558.99451999995</v>
      </c>
      <c r="N37" s="82">
        <v>707110.076</v>
      </c>
      <c r="O37" s="82">
        <v>750867.69577999995</v>
      </c>
      <c r="P37" s="82">
        <v>728176</v>
      </c>
      <c r="Q37" s="82">
        <v>737874.34974047798</v>
      </c>
      <c r="R37" s="82">
        <v>738236.85000000009</v>
      </c>
      <c r="S37" s="82">
        <v>579441.33000000007</v>
      </c>
      <c r="T37" s="82">
        <v>551095.4</v>
      </c>
      <c r="U37" s="82">
        <v>1173547.0115074001</v>
      </c>
      <c r="V37" s="82">
        <v>1271212.9538380611</v>
      </c>
      <c r="W37" s="82">
        <v>1285831.1996869999</v>
      </c>
      <c r="X37" s="82">
        <v>1257642.9445512351</v>
      </c>
      <c r="Y37" s="82">
        <v>1459169</v>
      </c>
      <c r="Z37" s="82">
        <v>1506829</v>
      </c>
      <c r="AA37" s="82">
        <v>1686075</v>
      </c>
      <c r="AB37" s="82" t="s">
        <v>47</v>
      </c>
      <c r="AC37" s="82" t="s">
        <v>47</v>
      </c>
      <c r="AD37" s="83"/>
      <c r="AE37" s="83"/>
      <c r="AF37" s="83"/>
    </row>
    <row r="38" spans="1:32" s="84" customFormat="1" ht="15.95" customHeight="1" x14ac:dyDescent="0.2">
      <c r="A38" s="85" t="s">
        <v>81</v>
      </c>
      <c r="B38" s="86" t="s">
        <v>82</v>
      </c>
      <c r="C38" s="81" t="s">
        <v>83</v>
      </c>
      <c r="D38" s="82" t="s">
        <v>47</v>
      </c>
      <c r="E38" s="82" t="s">
        <v>47</v>
      </c>
      <c r="F38" s="82" t="s">
        <v>47</v>
      </c>
      <c r="G38" s="82" t="s">
        <v>47</v>
      </c>
      <c r="H38" s="87">
        <v>31.780480000000001</v>
      </c>
      <c r="I38" s="87" t="s">
        <v>47</v>
      </c>
      <c r="J38" s="82" t="s">
        <v>47</v>
      </c>
      <c r="K38" s="87" t="s">
        <v>47</v>
      </c>
      <c r="L38" s="87" t="s">
        <v>47</v>
      </c>
      <c r="M38" s="87" t="s">
        <v>47</v>
      </c>
      <c r="N38" s="82" t="s">
        <v>47</v>
      </c>
      <c r="O38" s="82" t="s">
        <v>47</v>
      </c>
      <c r="P38" s="82" t="s">
        <v>47</v>
      </c>
      <c r="Q38" s="82" t="s">
        <v>47</v>
      </c>
      <c r="R38" s="82" t="s">
        <v>47</v>
      </c>
      <c r="S38" s="82" t="s">
        <v>47</v>
      </c>
      <c r="T38" s="82" t="s">
        <v>47</v>
      </c>
      <c r="U38" s="82" t="s">
        <v>47</v>
      </c>
      <c r="V38" s="82" t="s">
        <v>47</v>
      </c>
      <c r="W38" s="82" t="s">
        <v>47</v>
      </c>
      <c r="X38" s="82" t="s">
        <v>47</v>
      </c>
      <c r="Y38" s="82" t="s">
        <v>47</v>
      </c>
      <c r="Z38" s="82" t="s">
        <v>47</v>
      </c>
      <c r="AA38" s="82" t="s">
        <v>47</v>
      </c>
      <c r="AB38" s="82" t="s">
        <v>47</v>
      </c>
      <c r="AC38" s="82" t="s">
        <v>47</v>
      </c>
      <c r="AD38" s="83"/>
      <c r="AE38" s="83"/>
      <c r="AF38" s="83"/>
    </row>
    <row r="39" spans="1:32" s="84" customFormat="1" ht="15.95" customHeight="1" x14ac:dyDescent="0.2">
      <c r="A39" s="85" t="s">
        <v>84</v>
      </c>
      <c r="B39" s="86" t="s">
        <v>85</v>
      </c>
      <c r="C39" s="81" t="s">
        <v>86</v>
      </c>
      <c r="D39" s="82" t="s">
        <v>47</v>
      </c>
      <c r="E39" s="82" t="s">
        <v>47</v>
      </c>
      <c r="F39" s="82" t="s">
        <v>47</v>
      </c>
      <c r="G39" s="82" t="s">
        <v>47</v>
      </c>
      <c r="H39" s="87" t="s">
        <v>47</v>
      </c>
      <c r="I39" s="87" t="s">
        <v>47</v>
      </c>
      <c r="J39" s="82" t="s">
        <v>47</v>
      </c>
      <c r="K39" s="87" t="s">
        <v>47</v>
      </c>
      <c r="L39" s="87" t="s">
        <v>47</v>
      </c>
      <c r="M39" s="87" t="s">
        <v>47</v>
      </c>
      <c r="N39" s="82" t="s">
        <v>47</v>
      </c>
      <c r="O39" s="82" t="s">
        <v>47</v>
      </c>
      <c r="P39" s="82" t="s">
        <v>47</v>
      </c>
      <c r="Q39" s="82" t="s">
        <v>47</v>
      </c>
      <c r="R39" s="82" t="s">
        <v>47</v>
      </c>
      <c r="S39" s="82" t="s">
        <v>47</v>
      </c>
      <c r="T39" s="82" t="s">
        <v>47</v>
      </c>
      <c r="U39" s="82" t="s">
        <v>47</v>
      </c>
      <c r="V39" s="82" t="s">
        <v>47</v>
      </c>
      <c r="W39" s="82" t="s">
        <v>47</v>
      </c>
      <c r="X39" s="82" t="s">
        <v>47</v>
      </c>
      <c r="Y39" s="82" t="s">
        <v>47</v>
      </c>
      <c r="Z39" s="82" t="s">
        <v>47</v>
      </c>
      <c r="AA39" s="82" t="s">
        <v>47</v>
      </c>
      <c r="AB39" s="82" t="s">
        <v>47</v>
      </c>
      <c r="AC39" s="82" t="s">
        <v>47</v>
      </c>
      <c r="AD39" s="83"/>
      <c r="AE39" s="83"/>
      <c r="AF39" s="83"/>
    </row>
    <row r="40" spans="1:32" s="91" customFormat="1" ht="13.35" customHeight="1" x14ac:dyDescent="0.2">
      <c r="A40" s="85" t="s">
        <v>87</v>
      </c>
      <c r="B40" s="86" t="s">
        <v>88</v>
      </c>
      <c r="C40" s="88" t="s">
        <v>89</v>
      </c>
      <c r="D40" s="89" t="s">
        <v>47</v>
      </c>
      <c r="E40" s="90" t="s">
        <v>47</v>
      </c>
      <c r="F40" s="90" t="s">
        <v>47</v>
      </c>
      <c r="G40" s="90" t="s">
        <v>47</v>
      </c>
      <c r="H40" s="90" t="s">
        <v>47</v>
      </c>
      <c r="I40" s="90" t="s">
        <v>47</v>
      </c>
      <c r="J40" s="98" t="s">
        <v>47</v>
      </c>
      <c r="K40" s="90" t="s">
        <v>47</v>
      </c>
      <c r="L40" s="82">
        <v>57845</v>
      </c>
      <c r="M40" s="82">
        <v>92524</v>
      </c>
      <c r="N40" s="82">
        <v>177131.80409074051</v>
      </c>
      <c r="O40" s="82">
        <v>293542</v>
      </c>
      <c r="P40" s="82">
        <v>130778</v>
      </c>
      <c r="Q40" s="82">
        <v>131013</v>
      </c>
      <c r="R40" s="82">
        <v>158382</v>
      </c>
      <c r="S40" s="91" t="s">
        <v>47</v>
      </c>
      <c r="T40" s="91" t="s">
        <v>47</v>
      </c>
      <c r="U40" s="82">
        <v>368985</v>
      </c>
      <c r="V40" s="82">
        <v>402854</v>
      </c>
      <c r="W40" s="82">
        <v>446879</v>
      </c>
      <c r="X40" s="82">
        <v>527221</v>
      </c>
      <c r="Y40" s="82">
        <v>687486</v>
      </c>
      <c r="Z40" s="82">
        <v>689035</v>
      </c>
      <c r="AA40" s="82">
        <v>695078</v>
      </c>
      <c r="AB40" s="82">
        <v>673890</v>
      </c>
      <c r="AC40" s="82">
        <v>724237</v>
      </c>
    </row>
    <row r="41" spans="1:32" s="91" customFormat="1" ht="13.35" customHeight="1" x14ac:dyDescent="0.2">
      <c r="A41" s="85" t="s">
        <v>90</v>
      </c>
      <c r="B41" s="86" t="s">
        <v>91</v>
      </c>
      <c r="C41" s="88" t="s">
        <v>92</v>
      </c>
      <c r="D41" s="89" t="s">
        <v>47</v>
      </c>
      <c r="E41" s="90" t="s">
        <v>47</v>
      </c>
      <c r="F41" s="90" t="s">
        <v>47</v>
      </c>
      <c r="G41" s="90" t="s">
        <v>47</v>
      </c>
      <c r="H41" s="90" t="s">
        <v>47</v>
      </c>
      <c r="I41" s="90" t="s">
        <v>47</v>
      </c>
      <c r="J41" s="98" t="s">
        <v>47</v>
      </c>
      <c r="K41" s="90" t="s">
        <v>47</v>
      </c>
      <c r="L41" s="90" t="s">
        <v>47</v>
      </c>
      <c r="M41" s="90" t="s">
        <v>47</v>
      </c>
      <c r="N41" s="90" t="s">
        <v>47</v>
      </c>
      <c r="O41" s="92" t="s">
        <v>47</v>
      </c>
      <c r="P41" s="79" t="s">
        <v>47</v>
      </c>
      <c r="Q41" s="93" t="s">
        <v>47</v>
      </c>
      <c r="R41" s="94" t="s">
        <v>47</v>
      </c>
      <c r="S41" s="91" t="s">
        <v>47</v>
      </c>
      <c r="T41" s="91" t="s">
        <v>47</v>
      </c>
      <c r="U41" s="82">
        <f>1173547.0115074</f>
        <v>1173547.0115074001</v>
      </c>
      <c r="V41" s="82">
        <f>1271212.95383806</f>
        <v>1271212.9538380599</v>
      </c>
      <c r="W41" s="82">
        <f>1285831.199687</f>
        <v>1285831.1996869999</v>
      </c>
      <c r="X41" s="82">
        <f>1257642.94455124</f>
        <v>1257642.94455124</v>
      </c>
      <c r="Y41" s="82">
        <f>1459169</f>
        <v>1459169</v>
      </c>
      <c r="Z41" s="82">
        <f>1506829</f>
        <v>1506829</v>
      </c>
      <c r="AA41" s="82">
        <f>1686075</f>
        <v>1686075</v>
      </c>
      <c r="AB41" s="82">
        <v>1794638</v>
      </c>
      <c r="AC41" s="82">
        <v>1849015.5314</v>
      </c>
    </row>
    <row r="42" spans="1:32" s="91" customFormat="1" ht="13.35" customHeight="1" x14ac:dyDescent="0.2">
      <c r="A42" s="85" t="s">
        <v>93</v>
      </c>
      <c r="B42" s="86" t="s">
        <v>93</v>
      </c>
      <c r="C42" s="88" t="s">
        <v>94</v>
      </c>
      <c r="D42" s="89" t="s">
        <v>47</v>
      </c>
      <c r="E42" s="90" t="s">
        <v>47</v>
      </c>
      <c r="F42" s="90" t="s">
        <v>47</v>
      </c>
      <c r="G42" s="90" t="s">
        <v>47</v>
      </c>
      <c r="H42" s="90" t="s">
        <v>47</v>
      </c>
      <c r="I42" s="90" t="s">
        <v>47</v>
      </c>
      <c r="J42" s="98" t="s">
        <v>47</v>
      </c>
      <c r="K42" s="90" t="s">
        <v>47</v>
      </c>
      <c r="L42" s="90" t="s">
        <v>47</v>
      </c>
      <c r="M42" s="90" t="s">
        <v>47</v>
      </c>
      <c r="N42" s="90" t="s">
        <v>47</v>
      </c>
      <c r="O42" s="92" t="s">
        <v>47</v>
      </c>
      <c r="P42" s="79" t="s">
        <v>47</v>
      </c>
      <c r="Q42" s="93" t="s">
        <v>47</v>
      </c>
      <c r="R42" s="94" t="s">
        <v>47</v>
      </c>
      <c r="S42" s="91" t="s">
        <v>47</v>
      </c>
      <c r="T42" s="91" t="s">
        <v>47</v>
      </c>
      <c r="U42" s="82" t="s">
        <v>47</v>
      </c>
      <c r="V42" s="82" t="s">
        <v>47</v>
      </c>
      <c r="W42" s="82" t="s">
        <v>47</v>
      </c>
      <c r="X42" s="82" t="s">
        <v>47</v>
      </c>
      <c r="Y42" s="82" t="s">
        <v>47</v>
      </c>
      <c r="Z42" s="82" t="s">
        <v>47</v>
      </c>
      <c r="AA42" s="82" t="s">
        <v>47</v>
      </c>
      <c r="AB42" s="82" t="s">
        <v>47</v>
      </c>
      <c r="AC42" s="82" t="s">
        <v>47</v>
      </c>
    </row>
    <row r="43" spans="1:32" s="30" customFormat="1" ht="15.95" customHeight="1" x14ac:dyDescent="0.2">
      <c r="A43" s="27" t="s">
        <v>95</v>
      </c>
      <c r="B43" s="77" t="s">
        <v>96</v>
      </c>
      <c r="C43" s="78" t="s">
        <v>97</v>
      </c>
      <c r="D43" s="29" t="s">
        <v>47</v>
      </c>
      <c r="E43" s="29" t="s">
        <v>47</v>
      </c>
      <c r="F43" s="29" t="s">
        <v>47</v>
      </c>
      <c r="G43" s="29" t="s">
        <v>47</v>
      </c>
      <c r="H43" s="35" t="s">
        <v>47</v>
      </c>
      <c r="I43" s="35" t="s">
        <v>47</v>
      </c>
      <c r="J43" s="29">
        <v>43035</v>
      </c>
      <c r="K43" s="35">
        <v>44741.502999999997</v>
      </c>
      <c r="L43" s="35">
        <v>49421.351499999997</v>
      </c>
      <c r="M43" s="35">
        <v>45762.361559999998</v>
      </c>
      <c r="N43" s="29">
        <v>46453.872000000003</v>
      </c>
      <c r="O43" s="29">
        <v>48254.864000000001</v>
      </c>
      <c r="P43" s="29">
        <v>53217</v>
      </c>
      <c r="Q43" s="29">
        <v>68703.164699999994</v>
      </c>
      <c r="R43" s="29">
        <v>76997.358999999997</v>
      </c>
      <c r="S43" s="29">
        <v>68243.039999999994</v>
      </c>
      <c r="T43" s="29">
        <v>111617.33999999989</v>
      </c>
      <c r="U43" s="29">
        <v>583662</v>
      </c>
      <c r="V43" s="29">
        <v>629885.64740000002</v>
      </c>
      <c r="W43" s="29">
        <v>637089.90641678008</v>
      </c>
      <c r="X43" s="29">
        <v>641963.34749966441</v>
      </c>
      <c r="Y43" s="29">
        <v>693952</v>
      </c>
      <c r="Z43" s="29">
        <v>702682</v>
      </c>
      <c r="AA43" s="29">
        <v>799534</v>
      </c>
      <c r="AB43" s="29">
        <v>1182374.3512769279</v>
      </c>
      <c r="AC43" s="29">
        <v>1133169.8284536297</v>
      </c>
      <c r="AD43" s="5"/>
      <c r="AE43" s="5"/>
      <c r="AF43" s="5"/>
    </row>
    <row r="44" spans="1:32" s="91" customFormat="1" ht="13.35" customHeight="1" x14ac:dyDescent="0.2">
      <c r="A44" s="85" t="s">
        <v>98</v>
      </c>
      <c r="B44" s="86" t="s">
        <v>99</v>
      </c>
      <c r="C44" s="88" t="s">
        <v>100</v>
      </c>
      <c r="D44" s="89" t="s">
        <v>47</v>
      </c>
      <c r="E44" s="90" t="s">
        <v>47</v>
      </c>
      <c r="F44" s="90" t="s">
        <v>47</v>
      </c>
      <c r="G44" s="90" t="s">
        <v>47</v>
      </c>
      <c r="H44" s="90" t="s">
        <v>47</v>
      </c>
      <c r="I44" s="90" t="s">
        <v>47</v>
      </c>
      <c r="J44" s="98">
        <v>43035</v>
      </c>
      <c r="K44" s="90">
        <v>44741.502999999997</v>
      </c>
      <c r="L44" s="90">
        <v>49421.351499999997</v>
      </c>
      <c r="M44" s="90">
        <v>45762.361559999998</v>
      </c>
      <c r="N44" s="90">
        <v>46453.872000000003</v>
      </c>
      <c r="O44" s="92">
        <v>48254.864000000001</v>
      </c>
      <c r="P44" s="92">
        <v>53217</v>
      </c>
      <c r="Q44" s="92">
        <v>68703.164699999994</v>
      </c>
      <c r="R44" s="95">
        <v>76997.358999999997</v>
      </c>
      <c r="S44" s="95">
        <v>68243.039999999994</v>
      </c>
      <c r="T44" s="95">
        <v>111617.33999999989</v>
      </c>
      <c r="U44" s="95">
        <v>481562</v>
      </c>
      <c r="V44" s="95">
        <v>490085.64740000002</v>
      </c>
      <c r="W44" s="95">
        <v>497289.90641678002</v>
      </c>
      <c r="X44" s="95">
        <v>502163.34749966452</v>
      </c>
      <c r="Y44" s="95">
        <v>693952</v>
      </c>
      <c r="Z44" s="95">
        <v>702682</v>
      </c>
      <c r="AA44" s="95">
        <v>799534</v>
      </c>
      <c r="AB44" s="95">
        <v>1182374.3512769279</v>
      </c>
      <c r="AC44" s="95">
        <v>1133169.8284536297</v>
      </c>
    </row>
    <row r="45" spans="1:32" s="91" customFormat="1" ht="13.35" customHeight="1" x14ac:dyDescent="0.2">
      <c r="A45" s="85" t="s">
        <v>93</v>
      </c>
      <c r="B45" s="86" t="s">
        <v>93</v>
      </c>
      <c r="C45" s="88" t="s">
        <v>101</v>
      </c>
      <c r="D45" s="89" t="s">
        <v>47</v>
      </c>
      <c r="E45" s="90" t="s">
        <v>47</v>
      </c>
      <c r="F45" s="90" t="s">
        <v>47</v>
      </c>
      <c r="G45" s="90" t="s">
        <v>47</v>
      </c>
      <c r="H45" s="90" t="s">
        <v>47</v>
      </c>
      <c r="I45" s="90" t="s">
        <v>47</v>
      </c>
      <c r="J45" s="98" t="s">
        <v>47</v>
      </c>
      <c r="K45" s="90" t="s">
        <v>47</v>
      </c>
      <c r="L45" s="90" t="s">
        <v>47</v>
      </c>
      <c r="M45" s="90" t="s">
        <v>47</v>
      </c>
      <c r="N45" s="90" t="s">
        <v>47</v>
      </c>
      <c r="O45" s="92" t="s">
        <v>47</v>
      </c>
      <c r="P45" s="79" t="s">
        <v>47</v>
      </c>
      <c r="Q45" s="93" t="s">
        <v>47</v>
      </c>
      <c r="R45" s="94" t="s">
        <v>47</v>
      </c>
      <c r="S45" s="91" t="s">
        <v>47</v>
      </c>
      <c r="T45" s="91" t="s">
        <v>47</v>
      </c>
      <c r="U45" s="95">
        <v>102100</v>
      </c>
      <c r="V45" s="95">
        <v>139800</v>
      </c>
      <c r="W45" s="95">
        <v>139800</v>
      </c>
      <c r="X45" s="95">
        <v>139800</v>
      </c>
      <c r="Y45" s="95">
        <v>0</v>
      </c>
      <c r="Z45" s="95" t="s">
        <v>47</v>
      </c>
      <c r="AA45" s="95" t="s">
        <v>47</v>
      </c>
      <c r="AB45" s="95" t="s">
        <v>47</v>
      </c>
      <c r="AC45" s="95" t="s">
        <v>47</v>
      </c>
    </row>
    <row r="46" spans="1:32" s="30" customFormat="1" ht="15.95" customHeight="1" x14ac:dyDescent="0.2">
      <c r="A46" s="27" t="s">
        <v>102</v>
      </c>
      <c r="B46" s="27" t="s">
        <v>103</v>
      </c>
      <c r="C46" s="28" t="s">
        <v>104</v>
      </c>
      <c r="D46" s="29" t="s">
        <v>47</v>
      </c>
      <c r="E46" s="29">
        <v>382</v>
      </c>
      <c r="F46" s="29">
        <v>3966.75155</v>
      </c>
      <c r="G46" s="29">
        <v>2825.3323700000001</v>
      </c>
      <c r="H46" s="35">
        <v>2388</v>
      </c>
      <c r="I46" s="35">
        <v>1438.4459999999999</v>
      </c>
      <c r="J46" s="29">
        <v>1583.6279999999999</v>
      </c>
      <c r="K46" s="35">
        <v>1639.1840099999999</v>
      </c>
      <c r="L46" s="35">
        <v>2193.2370500000002</v>
      </c>
      <c r="M46" s="35">
        <v>6925.1220199999998</v>
      </c>
      <c r="N46" s="29">
        <v>3358.4679999999998</v>
      </c>
      <c r="O46" s="29">
        <v>3893.0635400000001</v>
      </c>
      <c r="P46" s="29">
        <v>4648</v>
      </c>
      <c r="Q46" s="29">
        <v>5394.0432899999996</v>
      </c>
      <c r="R46" s="29">
        <v>6623.915</v>
      </c>
      <c r="S46" s="29">
        <v>6044.31</v>
      </c>
      <c r="T46" s="29">
        <v>8941.07</v>
      </c>
      <c r="U46" s="29" t="s">
        <v>47</v>
      </c>
      <c r="V46" s="29" t="s">
        <v>47</v>
      </c>
      <c r="W46" s="29" t="s">
        <v>47</v>
      </c>
      <c r="X46" s="29" t="s">
        <v>47</v>
      </c>
      <c r="Y46" s="29" t="s">
        <v>47</v>
      </c>
      <c r="Z46" s="29" t="s">
        <v>47</v>
      </c>
      <c r="AA46" s="29" t="s">
        <v>47</v>
      </c>
      <c r="AB46" s="29" t="s">
        <v>47</v>
      </c>
      <c r="AC46" s="29" t="s">
        <v>47</v>
      </c>
      <c r="AD46" s="5"/>
      <c r="AE46" s="5"/>
      <c r="AF46" s="5"/>
    </row>
    <row r="47" spans="1:32" s="30" customFormat="1" ht="15.95" customHeight="1" x14ac:dyDescent="0.2">
      <c r="A47" s="27" t="s">
        <v>105</v>
      </c>
      <c r="B47" s="27" t="s">
        <v>106</v>
      </c>
      <c r="C47" s="28" t="s">
        <v>107</v>
      </c>
      <c r="D47" s="29" t="s">
        <v>47</v>
      </c>
      <c r="E47" s="29" t="s">
        <v>47</v>
      </c>
      <c r="F47" s="29" t="s">
        <v>47</v>
      </c>
      <c r="G47" s="29">
        <v>12500</v>
      </c>
      <c r="H47" s="35">
        <v>21604.225590000002</v>
      </c>
      <c r="I47" s="35">
        <v>40553.300000000003</v>
      </c>
      <c r="J47" s="29">
        <v>67382.5</v>
      </c>
      <c r="K47" s="35">
        <v>79263.105290000007</v>
      </c>
      <c r="L47" s="35">
        <v>14000</v>
      </c>
      <c r="M47" s="35">
        <v>14403.525519999999</v>
      </c>
      <c r="N47" s="29">
        <v>14019.423000000001</v>
      </c>
      <c r="O47" s="29">
        <v>14700</v>
      </c>
      <c r="P47" s="29">
        <v>15448.174000000001</v>
      </c>
      <c r="Q47" s="29">
        <v>15848.160900000001</v>
      </c>
      <c r="R47" s="29">
        <v>15672.74</v>
      </c>
      <c r="S47" s="29">
        <v>15760.50960670793</v>
      </c>
      <c r="T47" s="29">
        <v>16070.99</v>
      </c>
      <c r="U47" s="29">
        <v>0</v>
      </c>
      <c r="V47" s="29" t="s">
        <v>47</v>
      </c>
      <c r="W47" s="29" t="s">
        <v>47</v>
      </c>
      <c r="X47" s="29" t="s">
        <v>47</v>
      </c>
      <c r="Y47" s="29" t="s">
        <v>47</v>
      </c>
      <c r="Z47" s="29" t="s">
        <v>47</v>
      </c>
      <c r="AA47" s="29" t="s">
        <v>47</v>
      </c>
      <c r="AB47" s="29" t="s">
        <v>47</v>
      </c>
      <c r="AC47" s="29" t="s">
        <v>47</v>
      </c>
      <c r="AD47" s="5"/>
      <c r="AE47" s="5"/>
      <c r="AF47" s="5"/>
    </row>
    <row r="48" spans="1:32" s="30" customFormat="1" ht="15.95" customHeight="1" x14ac:dyDescent="0.2">
      <c r="A48" s="27" t="s">
        <v>108</v>
      </c>
      <c r="B48" s="27" t="s">
        <v>109</v>
      </c>
      <c r="C48" s="28" t="s">
        <v>110</v>
      </c>
      <c r="D48" s="29" t="s">
        <v>47</v>
      </c>
      <c r="E48" s="29" t="s">
        <v>47</v>
      </c>
      <c r="F48" s="29" t="s">
        <v>47</v>
      </c>
      <c r="G48" s="29" t="s">
        <v>47</v>
      </c>
      <c r="H48" s="35" t="s">
        <v>47</v>
      </c>
      <c r="I48" s="35" t="s">
        <v>47</v>
      </c>
      <c r="J48" s="29" t="s">
        <v>47</v>
      </c>
      <c r="K48" s="35" t="s">
        <v>47</v>
      </c>
      <c r="L48" s="35" t="s">
        <v>47</v>
      </c>
      <c r="M48" s="35" t="s">
        <v>47</v>
      </c>
      <c r="N48" s="29" t="s">
        <v>47</v>
      </c>
      <c r="O48" s="29" t="s">
        <v>47</v>
      </c>
      <c r="P48" s="29" t="s">
        <v>47</v>
      </c>
      <c r="Q48" s="29" t="s">
        <v>47</v>
      </c>
      <c r="R48" s="29" t="s">
        <v>47</v>
      </c>
      <c r="S48" s="29" t="s">
        <v>47</v>
      </c>
      <c r="T48" s="29" t="s">
        <v>47</v>
      </c>
      <c r="U48" s="29" t="s">
        <v>47</v>
      </c>
      <c r="V48" s="29" t="s">
        <v>47</v>
      </c>
      <c r="W48" s="29" t="s">
        <v>47</v>
      </c>
      <c r="X48" s="29" t="s">
        <v>47</v>
      </c>
      <c r="Y48" s="29" t="s">
        <v>47</v>
      </c>
      <c r="Z48" s="29" t="s">
        <v>47</v>
      </c>
      <c r="AA48" s="29" t="s">
        <v>47</v>
      </c>
      <c r="AB48" s="29" t="s">
        <v>47</v>
      </c>
      <c r="AC48" s="29" t="s">
        <v>47</v>
      </c>
      <c r="AD48" s="5"/>
      <c r="AE48" s="5"/>
      <c r="AF48" s="5"/>
    </row>
    <row r="49" spans="1:32" s="30" customFormat="1" ht="15.95" customHeight="1" x14ac:dyDescent="0.2">
      <c r="A49" s="27" t="s">
        <v>111</v>
      </c>
      <c r="B49" s="27" t="s">
        <v>112</v>
      </c>
      <c r="C49" s="28" t="s">
        <v>113</v>
      </c>
      <c r="D49" s="29" t="s">
        <v>47</v>
      </c>
      <c r="E49" s="29" t="s">
        <v>47</v>
      </c>
      <c r="F49" s="29" t="s">
        <v>47</v>
      </c>
      <c r="G49" s="29" t="s">
        <v>47</v>
      </c>
      <c r="H49" s="35" t="s">
        <v>47</v>
      </c>
      <c r="I49" s="35" t="s">
        <v>47</v>
      </c>
      <c r="J49" s="29">
        <v>1500</v>
      </c>
      <c r="K49" s="35">
        <v>2100</v>
      </c>
      <c r="L49" s="35">
        <v>2530</v>
      </c>
      <c r="M49" s="35">
        <v>2528.7350000000001</v>
      </c>
      <c r="N49" s="29">
        <v>2640.1142964999999</v>
      </c>
      <c r="O49" s="29">
        <v>2698.0135311664499</v>
      </c>
      <c r="P49" s="29">
        <v>2862.9810000000002</v>
      </c>
      <c r="Q49" s="29">
        <v>2874.8469599999999</v>
      </c>
      <c r="R49" s="29">
        <v>2791.31</v>
      </c>
      <c r="S49" s="29">
        <v>2806.9422174630799</v>
      </c>
      <c r="T49" s="29">
        <v>2862.24</v>
      </c>
      <c r="U49" s="29">
        <v>0</v>
      </c>
      <c r="V49" s="29" t="s">
        <v>47</v>
      </c>
      <c r="W49" s="29" t="s">
        <v>47</v>
      </c>
      <c r="X49" s="29" t="s">
        <v>47</v>
      </c>
      <c r="Y49" s="29" t="s">
        <v>47</v>
      </c>
      <c r="Z49" s="29" t="s">
        <v>47</v>
      </c>
      <c r="AA49" s="29" t="s">
        <v>47</v>
      </c>
      <c r="AB49" s="29" t="s">
        <v>47</v>
      </c>
      <c r="AC49" s="29" t="s">
        <v>47</v>
      </c>
      <c r="AD49" s="5"/>
      <c r="AE49" s="5"/>
      <c r="AF49" s="5"/>
    </row>
    <row r="50" spans="1:32" s="30" customFormat="1" ht="15.95" customHeight="1" x14ac:dyDescent="0.2">
      <c r="A50" s="27" t="s">
        <v>114</v>
      </c>
      <c r="B50" s="27" t="s">
        <v>115</v>
      </c>
      <c r="C50" s="28" t="s">
        <v>116</v>
      </c>
      <c r="D50" s="29" t="s">
        <v>47</v>
      </c>
      <c r="E50" s="29" t="s">
        <v>47</v>
      </c>
      <c r="F50" s="29" t="s">
        <v>47</v>
      </c>
      <c r="G50" s="29" t="s">
        <v>47</v>
      </c>
      <c r="H50" s="35" t="s">
        <v>47</v>
      </c>
      <c r="I50" s="35" t="s">
        <v>47</v>
      </c>
      <c r="J50" s="35" t="s">
        <v>47</v>
      </c>
      <c r="K50" s="35">
        <v>1500</v>
      </c>
      <c r="L50" s="35">
        <v>1571.09997</v>
      </c>
      <c r="M50" s="35">
        <v>1567.0235299999999</v>
      </c>
      <c r="N50" s="29">
        <v>1590.2239999999999</v>
      </c>
      <c r="O50" s="29">
        <v>1656.9047</v>
      </c>
      <c r="P50" s="29">
        <v>1704.4490000000001</v>
      </c>
      <c r="Q50" s="29">
        <v>1735.1346000000001</v>
      </c>
      <c r="R50" s="29">
        <v>1729.23</v>
      </c>
      <c r="S50" s="29">
        <v>1738.917345668284</v>
      </c>
      <c r="T50" s="29">
        <v>1773.17</v>
      </c>
      <c r="U50" s="29" t="s">
        <v>47</v>
      </c>
      <c r="V50" s="29" t="s">
        <v>47</v>
      </c>
      <c r="W50" s="29" t="s">
        <v>47</v>
      </c>
      <c r="X50" s="29" t="s">
        <v>47</v>
      </c>
      <c r="Y50" s="29" t="s">
        <v>47</v>
      </c>
      <c r="Z50" s="29" t="s">
        <v>47</v>
      </c>
      <c r="AA50" s="29" t="s">
        <v>47</v>
      </c>
      <c r="AB50" s="29" t="s">
        <v>47</v>
      </c>
      <c r="AC50" s="29" t="s">
        <v>47</v>
      </c>
      <c r="AD50" s="5"/>
      <c r="AE50" s="5"/>
      <c r="AF50" s="5"/>
    </row>
    <row r="51" spans="1:32" s="26" customFormat="1" ht="15.95" customHeight="1" x14ac:dyDescent="0.2">
      <c r="A51" s="31" t="s">
        <v>117</v>
      </c>
      <c r="B51" s="31" t="s">
        <v>118</v>
      </c>
      <c r="C51" s="32" t="s">
        <v>119</v>
      </c>
      <c r="D51" s="33">
        <v>74841.361999999994</v>
      </c>
      <c r="E51" s="33">
        <v>74680.010000000009</v>
      </c>
      <c r="F51" s="33">
        <v>87596.283490000002</v>
      </c>
      <c r="G51" s="33">
        <v>88894.106279999993</v>
      </c>
      <c r="H51" s="33">
        <v>107827.37853</v>
      </c>
      <c r="I51" s="33">
        <v>117089.83779000001</v>
      </c>
      <c r="J51" s="33">
        <v>118980</v>
      </c>
      <c r="K51" s="33">
        <v>113007</v>
      </c>
      <c r="L51" s="33">
        <v>16416.179370000002</v>
      </c>
      <c r="M51" s="33">
        <v>17063.426960000001</v>
      </c>
      <c r="N51" s="33">
        <v>17305.17427</v>
      </c>
      <c r="O51" s="33">
        <v>17999.039789999999</v>
      </c>
      <c r="P51" s="33">
        <v>18778</v>
      </c>
      <c r="Q51" s="33">
        <v>18942</v>
      </c>
      <c r="R51" s="33">
        <v>18488</v>
      </c>
      <c r="S51" s="33">
        <v>18519</v>
      </c>
      <c r="T51" s="33">
        <v>19740</v>
      </c>
      <c r="U51" s="33">
        <v>20010</v>
      </c>
      <c r="V51" s="33">
        <v>20694</v>
      </c>
      <c r="W51" s="33">
        <v>20914</v>
      </c>
      <c r="X51" s="33">
        <v>21254</v>
      </c>
      <c r="Y51" s="33">
        <v>21788</v>
      </c>
      <c r="Z51" s="33">
        <v>22293</v>
      </c>
      <c r="AA51" s="33">
        <v>23230</v>
      </c>
      <c r="AB51" s="33">
        <v>24189</v>
      </c>
      <c r="AC51" s="33">
        <v>25451</v>
      </c>
      <c r="AD51" s="25"/>
      <c r="AE51" s="25"/>
      <c r="AF51" s="25"/>
    </row>
    <row r="52" spans="1:32" s="26" customFormat="1" ht="15.95" customHeight="1" x14ac:dyDescent="0.2">
      <c r="A52" s="31" t="s">
        <v>120</v>
      </c>
      <c r="B52" s="31" t="s">
        <v>121</v>
      </c>
      <c r="C52" s="32" t="s">
        <v>122</v>
      </c>
      <c r="D52" s="33">
        <v>0</v>
      </c>
      <c r="E52" s="33">
        <v>0</v>
      </c>
      <c r="F52" s="33">
        <v>0</v>
      </c>
      <c r="G52" s="33">
        <v>0</v>
      </c>
      <c r="H52" s="33">
        <v>14.80409</v>
      </c>
      <c r="I52" s="33">
        <v>8</v>
      </c>
      <c r="J52" s="33">
        <v>8</v>
      </c>
      <c r="K52" s="33">
        <v>15937.016</v>
      </c>
      <c r="L52" s="33">
        <v>61527.9</v>
      </c>
      <c r="M52" s="33">
        <v>30665</v>
      </c>
      <c r="N52" s="33">
        <v>64918.899999999987</v>
      </c>
      <c r="O52" s="33">
        <v>109846</v>
      </c>
      <c r="P52" s="33">
        <v>577.15184800000009</v>
      </c>
      <c r="Q52" s="33">
        <v>844.40000000000009</v>
      </c>
      <c r="R52" s="33">
        <v>400</v>
      </c>
      <c r="S52" s="33">
        <v>400</v>
      </c>
      <c r="T52" s="33">
        <v>400</v>
      </c>
      <c r="U52" s="33">
        <v>150</v>
      </c>
      <c r="V52" s="33">
        <v>30</v>
      </c>
      <c r="W52" s="33">
        <v>150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25"/>
      <c r="AE52" s="25"/>
      <c r="AF52" s="25"/>
    </row>
    <row r="53" spans="1:32" s="26" customFormat="1" ht="15.95" customHeight="1" x14ac:dyDescent="0.2">
      <c r="A53" s="31" t="s">
        <v>123</v>
      </c>
      <c r="B53" s="31" t="s">
        <v>124</v>
      </c>
      <c r="C53" s="32" t="s">
        <v>125</v>
      </c>
      <c r="D53" s="33">
        <v>8430.8690000000006</v>
      </c>
      <c r="E53" s="33">
        <v>11993.32</v>
      </c>
      <c r="F53" s="33">
        <v>8985.5851299999995</v>
      </c>
      <c r="G53" s="33">
        <v>6282.0571400000008</v>
      </c>
      <c r="H53" s="33">
        <v>4655.6000899999999</v>
      </c>
      <c r="I53" s="33">
        <v>7110.7632899999999</v>
      </c>
      <c r="J53" s="33">
        <v>12861.331050000001</v>
      </c>
      <c r="K53" s="33">
        <v>24762.236860000001</v>
      </c>
      <c r="L53" s="33">
        <v>34669.060465000002</v>
      </c>
      <c r="M53" s="33">
        <v>13523.248113</v>
      </c>
      <c r="N53" s="33">
        <v>13556.968720000001</v>
      </c>
      <c r="O53" s="33">
        <v>12689.08596</v>
      </c>
      <c r="P53" s="33">
        <v>31149.429873000001</v>
      </c>
      <c r="Q53" s="33">
        <v>16453.380559000001</v>
      </c>
      <c r="R53" s="33">
        <v>14492.568651</v>
      </c>
      <c r="S53" s="33">
        <v>14969.522859999999</v>
      </c>
      <c r="T53" s="33">
        <v>38764.083636000003</v>
      </c>
      <c r="U53" s="33">
        <v>25781.468465000002</v>
      </c>
      <c r="V53" s="33">
        <v>21424.583382041092</v>
      </c>
      <c r="W53" s="33">
        <v>25999.023148</v>
      </c>
      <c r="X53" s="33">
        <v>5891.4449999999997</v>
      </c>
      <c r="Y53" s="33">
        <v>13007.847467</v>
      </c>
      <c r="Z53" s="33">
        <v>-10021.956525555561</v>
      </c>
      <c r="AA53" s="33">
        <v>25553.03529777778</v>
      </c>
      <c r="AB53" s="33">
        <v>51842.302380000001</v>
      </c>
      <c r="AC53" s="33">
        <v>33926.627888888892</v>
      </c>
      <c r="AD53" s="25"/>
      <c r="AE53" s="25"/>
      <c r="AF53" s="25"/>
    </row>
    <row r="54" spans="1:32" s="40" customFormat="1" ht="20.100000000000001" customHeight="1" x14ac:dyDescent="0.2">
      <c r="A54" s="36" t="s">
        <v>126</v>
      </c>
      <c r="B54" s="36" t="s">
        <v>127</v>
      </c>
      <c r="C54" s="37" t="s">
        <v>128</v>
      </c>
      <c r="D54" s="38">
        <v>15452.236999999999</v>
      </c>
      <c r="E54" s="38">
        <v>18341.45</v>
      </c>
      <c r="F54" s="38">
        <v>16083.82338</v>
      </c>
      <c r="G54" s="38">
        <v>15062.623439999999</v>
      </c>
      <c r="H54" s="38">
        <v>13330.402899999999</v>
      </c>
      <c r="I54" s="38">
        <v>12370.95775</v>
      </c>
      <c r="J54" s="38">
        <v>15187.284089999999</v>
      </c>
      <c r="K54" s="38">
        <v>11227.35527</v>
      </c>
      <c r="L54" s="38">
        <v>8391.2519400000001</v>
      </c>
      <c r="M54" s="38">
        <v>3592.1875599999998</v>
      </c>
      <c r="N54" s="38">
        <v>3012.6655799999999</v>
      </c>
      <c r="O54" s="38">
        <v>2584.4394400000001</v>
      </c>
      <c r="P54" s="38">
        <v>2017.7159999999999</v>
      </c>
      <c r="Q54" s="38">
        <v>1898.0307299999999</v>
      </c>
      <c r="R54" s="38">
        <v>1641.91</v>
      </c>
      <c r="S54" s="38">
        <v>1324.1369999999999</v>
      </c>
      <c r="T54" s="38">
        <v>1208.579</v>
      </c>
      <c r="U54" s="38">
        <v>2052.7249999999999</v>
      </c>
      <c r="V54" s="38">
        <v>1595.4939999999999</v>
      </c>
      <c r="W54" s="38">
        <v>2777.4769999999999</v>
      </c>
      <c r="X54" s="38">
        <v>1361.36402</v>
      </c>
      <c r="Y54" s="38">
        <v>2313.9569799999999</v>
      </c>
      <c r="Z54" s="38">
        <v>1376.1020900000001</v>
      </c>
      <c r="AA54" s="38">
        <v>3358.00317</v>
      </c>
      <c r="AB54" s="38">
        <v>3161.1715899999999</v>
      </c>
      <c r="AC54" s="38">
        <v>3160.36</v>
      </c>
      <c r="AD54" s="39"/>
      <c r="AE54" s="39"/>
      <c r="AF54" s="39"/>
    </row>
    <row r="55" spans="1:32" s="26" customFormat="1" ht="15.95" hidden="1" customHeight="1" x14ac:dyDescent="0.2">
      <c r="A55" s="31" t="s">
        <v>129</v>
      </c>
      <c r="B55" s="31" t="s">
        <v>130</v>
      </c>
      <c r="C55" s="32" t="s">
        <v>131</v>
      </c>
      <c r="D55" s="33" t="s">
        <v>47</v>
      </c>
      <c r="E55" s="33" t="s">
        <v>47</v>
      </c>
      <c r="F55" s="33" t="s">
        <v>47</v>
      </c>
      <c r="G55" s="33" t="s">
        <v>47</v>
      </c>
      <c r="H55" s="33" t="s">
        <v>47</v>
      </c>
      <c r="I55" s="33" t="s">
        <v>47</v>
      </c>
      <c r="J55" s="33" t="s">
        <v>47</v>
      </c>
      <c r="K55" s="33" t="s">
        <v>47</v>
      </c>
      <c r="L55" s="33" t="s">
        <v>47</v>
      </c>
      <c r="M55" s="33" t="s">
        <v>47</v>
      </c>
      <c r="N55" s="33" t="s">
        <v>47</v>
      </c>
      <c r="O55" s="33" t="s">
        <v>47</v>
      </c>
      <c r="P55" s="33" t="s">
        <v>47</v>
      </c>
      <c r="Q55" s="33" t="s">
        <v>47</v>
      </c>
      <c r="R55" s="33" t="s">
        <v>47</v>
      </c>
      <c r="S55" s="33" t="s">
        <v>47</v>
      </c>
      <c r="T55" s="33" t="s">
        <v>47</v>
      </c>
      <c r="U55" s="33">
        <v>0</v>
      </c>
      <c r="V55" s="33">
        <v>0</v>
      </c>
      <c r="W55" s="33" t="s">
        <v>47</v>
      </c>
      <c r="X55" s="33" t="s">
        <v>47</v>
      </c>
      <c r="Y55" s="33" t="s">
        <v>47</v>
      </c>
      <c r="Z55" s="33" t="s">
        <v>47</v>
      </c>
      <c r="AA55" s="33" t="s">
        <v>47</v>
      </c>
      <c r="AB55" s="33" t="s">
        <v>47</v>
      </c>
      <c r="AC55" s="33" t="s">
        <v>47</v>
      </c>
      <c r="AD55" s="25"/>
      <c r="AE55" s="25"/>
      <c r="AF55" s="25"/>
    </row>
    <row r="56" spans="1:32" s="40" customFormat="1" ht="20.100000000000001" hidden="1" customHeight="1" x14ac:dyDescent="0.2">
      <c r="A56" s="36" t="s">
        <v>132</v>
      </c>
      <c r="B56" s="36" t="s">
        <v>133</v>
      </c>
      <c r="C56" s="37" t="s">
        <v>134</v>
      </c>
      <c r="D56" s="38" t="s">
        <v>47</v>
      </c>
      <c r="E56" s="38" t="s">
        <v>47</v>
      </c>
      <c r="F56" s="38" t="s">
        <v>47</v>
      </c>
      <c r="G56" s="38" t="s">
        <v>47</v>
      </c>
      <c r="H56" s="38" t="s">
        <v>47</v>
      </c>
      <c r="I56" s="38" t="s">
        <v>47</v>
      </c>
      <c r="J56" s="38" t="s">
        <v>47</v>
      </c>
      <c r="K56" s="38" t="s">
        <v>47</v>
      </c>
      <c r="L56" s="38" t="s">
        <v>47</v>
      </c>
      <c r="M56" s="38" t="s">
        <v>47</v>
      </c>
      <c r="N56" s="38" t="s">
        <v>47</v>
      </c>
      <c r="O56" s="38" t="s">
        <v>47</v>
      </c>
      <c r="P56" s="38" t="s">
        <v>47</v>
      </c>
      <c r="Q56" s="38" t="s">
        <v>47</v>
      </c>
      <c r="R56" s="38" t="s">
        <v>47</v>
      </c>
      <c r="S56" s="38" t="s">
        <v>47</v>
      </c>
      <c r="T56" s="38" t="s">
        <v>47</v>
      </c>
      <c r="U56" s="38" t="s">
        <v>47</v>
      </c>
      <c r="V56" s="38" t="s">
        <v>47</v>
      </c>
      <c r="W56" s="38" t="s">
        <v>47</v>
      </c>
      <c r="X56" s="38" t="s">
        <v>47</v>
      </c>
      <c r="Y56" s="38" t="s">
        <v>47</v>
      </c>
      <c r="Z56" s="38" t="s">
        <v>47</v>
      </c>
      <c r="AA56" s="38" t="s">
        <v>47</v>
      </c>
      <c r="AB56" s="38" t="s">
        <v>47</v>
      </c>
      <c r="AC56" s="38" t="s">
        <v>47</v>
      </c>
      <c r="AD56" s="39"/>
      <c r="AE56" s="39"/>
      <c r="AF56" s="39"/>
    </row>
    <row r="57" spans="1:32" s="40" customFormat="1" ht="24.95" customHeight="1" thickBot="1" x14ac:dyDescent="0.25">
      <c r="A57" s="41" t="s">
        <v>135</v>
      </c>
      <c r="B57" s="41" t="s">
        <v>136</v>
      </c>
      <c r="C57" s="42" t="s">
        <v>137</v>
      </c>
      <c r="D57" s="43">
        <v>3405359.8509999998</v>
      </c>
      <c r="E57" s="43">
        <v>3460908.42</v>
      </c>
      <c r="F57" s="43">
        <v>3600556.11509</v>
      </c>
      <c r="G57" s="43">
        <v>3655394.6013099998</v>
      </c>
      <c r="H57" s="43">
        <v>3927621.9003599999</v>
      </c>
      <c r="I57" s="43">
        <v>4197178.57883</v>
      </c>
      <c r="J57" s="43">
        <v>4448172.6826800006</v>
      </c>
      <c r="K57" s="43">
        <v>4808064.7140099993</v>
      </c>
      <c r="L57" s="43">
        <v>5418242.8808950009</v>
      </c>
      <c r="M57" s="43">
        <v>5600348.9617829993</v>
      </c>
      <c r="N57" s="43">
        <v>6104429.7969572414</v>
      </c>
      <c r="O57" s="43">
        <v>6289916.3052511662</v>
      </c>
      <c r="P57" s="43">
        <v>6493345.7787210001</v>
      </c>
      <c r="Q57" s="43">
        <v>6818923.2760394784</v>
      </c>
      <c r="R57" s="43">
        <v>6972622.562651</v>
      </c>
      <c r="S57" s="43">
        <v>6287011.2910298398</v>
      </c>
      <c r="T57" s="43">
        <v>6466890.8076360002</v>
      </c>
      <c r="U57" s="43">
        <v>6935275.8309724014</v>
      </c>
      <c r="V57" s="43">
        <v>7202630.4996201023</v>
      </c>
      <c r="W57" s="43">
        <v>7364173.3402517801</v>
      </c>
      <c r="X57" s="43">
        <v>10628394.4507009</v>
      </c>
      <c r="Y57" s="43">
        <v>10741539.817217</v>
      </c>
      <c r="Z57" s="43">
        <v>8615814.9992144443</v>
      </c>
      <c r="AA57" s="43">
        <v>9757421.9066777769</v>
      </c>
      <c r="AB57" s="43">
        <v>10292989.325586926</v>
      </c>
      <c r="AC57" s="43">
        <v>10485944.475742517</v>
      </c>
      <c r="AD57" s="44"/>
      <c r="AE57" s="44" t="s">
        <v>222</v>
      </c>
      <c r="AF57" s="44" t="s">
        <v>222</v>
      </c>
    </row>
    <row r="58" spans="1:32" s="40" customFormat="1" ht="24.95" customHeight="1" x14ac:dyDescent="0.2">
      <c r="A58" s="45" t="s">
        <v>219</v>
      </c>
      <c r="B58" s="115"/>
      <c r="C58" s="37"/>
      <c r="D58" s="116">
        <f>D23/D57</f>
        <v>0.629362015697295</v>
      </c>
      <c r="E58" s="116">
        <f t="shared" ref="E58:AC58" si="10">E23/E57</f>
        <v>0.64287330665629117</v>
      </c>
      <c r="F58" s="116">
        <f t="shared" si="10"/>
        <v>0.64242936891491342</v>
      </c>
      <c r="G58" s="120">
        <f t="shared" si="10"/>
        <v>0.64637248175703166</v>
      </c>
      <c r="H58" s="120">
        <f t="shared" si="10"/>
        <v>0.62836384146696733</v>
      </c>
      <c r="I58" s="120">
        <f t="shared" si="10"/>
        <v>0.61982132166632542</v>
      </c>
      <c r="J58" s="120">
        <f t="shared" si="10"/>
        <v>0.61533013891243882</v>
      </c>
      <c r="K58" s="120">
        <f t="shared" si="10"/>
        <v>0.59370583733662763</v>
      </c>
      <c r="L58" s="120">
        <f t="shared" si="10"/>
        <v>0.59889919803557878</v>
      </c>
      <c r="M58" s="120">
        <f t="shared" si="10"/>
        <v>0.60984259379305727</v>
      </c>
      <c r="N58" s="120">
        <f t="shared" si="10"/>
        <v>0.57909718427133894</v>
      </c>
      <c r="O58" s="120">
        <f t="shared" si="10"/>
        <v>0.57269890785393496</v>
      </c>
      <c r="P58" s="120">
        <f t="shared" si="10"/>
        <v>0.57699805380424085</v>
      </c>
      <c r="Q58" s="120">
        <f t="shared" si="10"/>
        <v>0.57450181003287759</v>
      </c>
      <c r="R58" s="120">
        <f t="shared" si="10"/>
        <v>0.56527133723146283</v>
      </c>
      <c r="S58" s="120">
        <f t="shared" si="10"/>
        <v>0.66710816759372882</v>
      </c>
      <c r="T58" s="120">
        <f t="shared" si="10"/>
        <v>0.66518781017929474</v>
      </c>
      <c r="U58" s="120">
        <f t="shared" si="10"/>
        <v>0.63313136103259249</v>
      </c>
      <c r="V58" s="120">
        <f t="shared" si="10"/>
        <v>0.622797160181492</v>
      </c>
      <c r="W58" s="120">
        <f t="shared" si="10"/>
        <v>0.6202807189549161</v>
      </c>
      <c r="X58" s="120">
        <f t="shared" si="10"/>
        <v>0.40059675705291703</v>
      </c>
      <c r="Y58" s="120">
        <f t="shared" si="10"/>
        <v>0.43537366778030967</v>
      </c>
      <c r="Z58" s="120">
        <f t="shared" si="10"/>
        <v>0.56218022950720548</v>
      </c>
      <c r="AA58" s="120">
        <f t="shared" si="10"/>
        <v>0.54663249362618105</v>
      </c>
      <c r="AB58" s="116">
        <f t="shared" si="10"/>
        <v>0.54675841218936583</v>
      </c>
      <c r="AC58" s="116">
        <f t="shared" si="10"/>
        <v>0.54851102934079976</v>
      </c>
      <c r="AD58" s="44"/>
      <c r="AE58" s="44"/>
      <c r="AF58" s="44"/>
    </row>
    <row r="59" spans="1:32" s="46" customFormat="1" ht="20.100000000000001" customHeight="1" x14ac:dyDescent="0.2">
      <c r="A59" s="45" t="s">
        <v>57</v>
      </c>
      <c r="C59" s="47"/>
      <c r="D59" s="104">
        <f>D30/D57</f>
        <v>0.28796942435085987</v>
      </c>
      <c r="E59" s="104">
        <f t="shared" ref="E59:AC59" si="11">E30/E57</f>
        <v>0.29270118623942093</v>
      </c>
      <c r="F59" s="104">
        <f t="shared" si="11"/>
        <v>0.28555547174809132</v>
      </c>
      <c r="G59" s="121">
        <f t="shared" si="11"/>
        <v>0.28559351694229468</v>
      </c>
      <c r="H59" s="121">
        <f t="shared" si="11"/>
        <v>0.27060878744529376</v>
      </c>
      <c r="I59" s="121">
        <f t="shared" si="11"/>
        <v>0.2585752499248038</v>
      </c>
      <c r="J59" s="121">
        <f t="shared" si="11"/>
        <v>0.24806478496135773</v>
      </c>
      <c r="K59" s="121">
        <f t="shared" si="11"/>
        <v>0.23373936642851575</v>
      </c>
      <c r="L59" s="121">
        <f t="shared" si="11"/>
        <v>0.23036970239950169</v>
      </c>
      <c r="M59" s="121">
        <f t="shared" si="11"/>
        <v>0.22693300161698829</v>
      </c>
      <c r="N59" s="121">
        <f t="shared" si="11"/>
        <v>0.24871675987768507</v>
      </c>
      <c r="O59" s="121">
        <f t="shared" si="11"/>
        <v>0.22718219617755939</v>
      </c>
      <c r="P59" s="121">
        <f t="shared" si="11"/>
        <v>0.27063721229183407</v>
      </c>
      <c r="Q59" s="121">
        <f t="shared" si="11"/>
        <v>0.27861568800396641</v>
      </c>
      <c r="R59" s="121">
        <f t="shared" si="11"/>
        <v>0.28622558901872008</v>
      </c>
      <c r="S59" s="121">
        <f t="shared" si="11"/>
        <v>0.2200802473464864</v>
      </c>
      <c r="T59" s="121">
        <f t="shared" si="11"/>
        <v>0.21845443846552687</v>
      </c>
      <c r="U59" s="121">
        <f t="shared" si="11"/>
        <v>5.3371633518446711E-2</v>
      </c>
      <c r="V59" s="121">
        <f t="shared" si="11"/>
        <v>5.1252941549545107E-2</v>
      </c>
      <c r="W59" s="121">
        <f t="shared" si="11"/>
        <v>5.1150072465176576E-2</v>
      </c>
      <c r="X59" s="121">
        <f t="shared" si="11"/>
        <v>0.36838677922250035</v>
      </c>
      <c r="Y59" s="121">
        <f t="shared" si="11"/>
        <v>0.29693014728556455</v>
      </c>
      <c r="Z59" s="121">
        <f t="shared" si="11"/>
        <v>9.9814236967531181E-2</v>
      </c>
      <c r="AA59" s="121">
        <f t="shared" si="11"/>
        <v>0.1220476075944808</v>
      </c>
      <c r="AB59" s="104">
        <f t="shared" si="11"/>
        <v>9.0849797898403806E-2</v>
      </c>
      <c r="AC59" s="104">
        <f t="shared" si="11"/>
        <v>9.2059225779148934E-2</v>
      </c>
      <c r="AD59" s="5"/>
      <c r="AE59" s="5"/>
      <c r="AF59" s="5"/>
    </row>
    <row r="60" spans="1:32" s="46" customFormat="1" ht="20.100000000000001" customHeight="1" x14ac:dyDescent="0.2">
      <c r="A60" s="45" t="s">
        <v>72</v>
      </c>
      <c r="C60" s="47"/>
      <c r="D60" s="104">
        <f>D35/D57</f>
        <v>5.3677653757009662E-2</v>
      </c>
      <c r="E60" s="104">
        <f t="shared" ref="E60:AC60" si="12">E35/E57</f>
        <v>3.408238118014114E-2</v>
      </c>
      <c r="F60" s="104">
        <f t="shared" si="12"/>
        <v>4.0723967532536244E-2</v>
      </c>
      <c r="G60" s="121">
        <f t="shared" si="12"/>
        <v>3.7876166406325115E-2</v>
      </c>
      <c r="H60" s="121">
        <f t="shared" si="12"/>
        <v>6.8990635169124445E-2</v>
      </c>
      <c r="I60" s="121">
        <f t="shared" si="12"/>
        <v>8.9062625994866126E-2</v>
      </c>
      <c r="J60" s="121">
        <f t="shared" si="12"/>
        <v>0.10354956645309173</v>
      </c>
      <c r="K60" s="121">
        <f t="shared" si="12"/>
        <v>0.13825126291314258</v>
      </c>
      <c r="L60" s="121">
        <f t="shared" si="12"/>
        <v>0.14839832592687011</v>
      </c>
      <c r="M60" s="121">
        <f t="shared" si="12"/>
        <v>0.15164586491760604</v>
      </c>
      <c r="N60" s="121">
        <f t="shared" si="12"/>
        <v>0.15600211863553862</v>
      </c>
      <c r="O60" s="121">
        <f t="shared" si="12"/>
        <v>0.17736524421156313</v>
      </c>
      <c r="P60" s="121">
        <f t="shared" si="12"/>
        <v>0.14427609986057591</v>
      </c>
      <c r="Q60" s="121">
        <f t="shared" si="12"/>
        <v>0.14128956452345631</v>
      </c>
      <c r="R60" s="121">
        <f t="shared" si="12"/>
        <v>0.14348021781056136</v>
      </c>
      <c r="S60" s="121">
        <f t="shared" si="12"/>
        <v>0.10721072668209407</v>
      </c>
      <c r="T60" s="121">
        <f t="shared" si="12"/>
        <v>0.10706230097197128</v>
      </c>
      <c r="U60" s="121">
        <f t="shared" si="12"/>
        <v>0.30657670485317728</v>
      </c>
      <c r="V60" s="121">
        <f t="shared" si="12"/>
        <v>0.31987655084619177</v>
      </c>
      <c r="W60" s="121">
        <f t="shared" si="12"/>
        <v>0.32180123913579106</v>
      </c>
      <c r="X60" s="121">
        <f t="shared" si="12"/>
        <v>0.22833432681743013</v>
      </c>
      <c r="Y60" s="121">
        <f t="shared" si="12"/>
        <v>0.26424139120078072</v>
      </c>
      <c r="Z60" s="121">
        <f t="shared" si="12"/>
        <v>0.33642156897104658</v>
      </c>
      <c r="AA60" s="121">
        <f t="shared" si="12"/>
        <v>0.32597616772348481</v>
      </c>
      <c r="AB60" s="104">
        <f t="shared" si="12"/>
        <v>0.35469796341878029</v>
      </c>
      <c r="AC60" s="104">
        <f t="shared" si="12"/>
        <v>0.35346576251932471</v>
      </c>
      <c r="AD60" s="5"/>
      <c r="AE60" s="122">
        <f>MIN(D60:AB60)</f>
        <v>3.408238118014114E-2</v>
      </c>
      <c r="AF60" s="122">
        <f>MAX(D60:AB60)</f>
        <v>0.35469796341878029</v>
      </c>
    </row>
    <row r="61" spans="1:32" s="46" customFormat="1" ht="20.100000000000001" customHeight="1" x14ac:dyDescent="0.2">
      <c r="A61" s="119" t="s">
        <v>75</v>
      </c>
      <c r="C61" s="47"/>
      <c r="D61" s="104">
        <f>D36/D35</f>
        <v>1</v>
      </c>
      <c r="E61" s="104">
        <f t="shared" ref="E61:AC61" si="13">E36/E35</f>
        <v>0.9967615042897352</v>
      </c>
      <c r="F61" s="104">
        <f t="shared" si="13"/>
        <v>0.97294700615306595</v>
      </c>
      <c r="G61" s="121">
        <f t="shared" si="13"/>
        <v>0.88930968583121206</v>
      </c>
      <c r="H61" s="121">
        <f t="shared" si="13"/>
        <v>0.91145771614452364</v>
      </c>
      <c r="I61" s="121">
        <f t="shared" si="13"/>
        <v>0.88766606065931364</v>
      </c>
      <c r="J61" s="121">
        <f t="shared" si="13"/>
        <v>0.75358323368743596</v>
      </c>
      <c r="K61" s="121">
        <f t="shared" si="13"/>
        <v>0.80556686394878085</v>
      </c>
      <c r="L61" s="121">
        <f t="shared" si="13"/>
        <v>0.91329521810498782</v>
      </c>
      <c r="M61" s="121">
        <f t="shared" si="13"/>
        <v>0.9161788505812517</v>
      </c>
      <c r="N61" s="121">
        <f t="shared" si="13"/>
        <v>0.92852901738649407</v>
      </c>
      <c r="O61" s="121">
        <f t="shared" si="13"/>
        <v>0.93617600813973956</v>
      </c>
      <c r="P61" s="121">
        <f t="shared" si="13"/>
        <v>0.91686835256994836</v>
      </c>
      <c r="Q61" s="121">
        <f t="shared" si="13"/>
        <v>0.90185679913158734</v>
      </c>
      <c r="R61" s="121">
        <f t="shared" si="13"/>
        <v>0.89623042015098497</v>
      </c>
      <c r="S61" s="121">
        <f t="shared" si="13"/>
        <v>0.85966053354889527</v>
      </c>
      <c r="T61" s="121">
        <f t="shared" si="13"/>
        <v>0.79596630776918875</v>
      </c>
      <c r="U61" s="121">
        <f t="shared" si="13"/>
        <v>0.7254897733503618</v>
      </c>
      <c r="V61" s="121">
        <f t="shared" si="13"/>
        <v>0.72660650785023861</v>
      </c>
      <c r="W61" s="121">
        <f t="shared" si="13"/>
        <v>0.73116301886565938</v>
      </c>
      <c r="X61" s="121">
        <f t="shared" si="13"/>
        <v>0.73547217405934773</v>
      </c>
      <c r="Y61" s="121">
        <f t="shared" si="13"/>
        <v>0.75630132714618348</v>
      </c>
      <c r="Z61" s="121">
        <f t="shared" si="13"/>
        <v>0.75757431484613325</v>
      </c>
      <c r="AA61" s="121">
        <f t="shared" si="13"/>
        <v>0.74862851956196885</v>
      </c>
      <c r="AB61" s="104">
        <f t="shared" si="13"/>
        <v>0.67614188561811728</v>
      </c>
      <c r="AC61" s="104">
        <f t="shared" si="13"/>
        <v>0.69426856455226549</v>
      </c>
      <c r="AD61" s="5"/>
      <c r="AE61" s="122">
        <f>MIN(D61:AB61)</f>
        <v>0.67614188561811728</v>
      </c>
      <c r="AF61" s="122">
        <f>MAX(D61:AB61)</f>
        <v>1</v>
      </c>
    </row>
    <row r="62" spans="1:32" s="46" customFormat="1" ht="20.100000000000001" customHeight="1" x14ac:dyDescent="0.2">
      <c r="A62" s="119" t="s">
        <v>95</v>
      </c>
      <c r="C62" s="47"/>
      <c r="D62" s="104">
        <f>SUM(D43)/D35</f>
        <v>0</v>
      </c>
      <c r="E62" s="104">
        <f t="shared" ref="E62:AC62" si="14">SUM(E43)/E35</f>
        <v>0</v>
      </c>
      <c r="F62" s="104">
        <f t="shared" si="14"/>
        <v>0</v>
      </c>
      <c r="G62" s="121">
        <f t="shared" si="14"/>
        <v>0</v>
      </c>
      <c r="H62" s="121">
        <f t="shared" si="14"/>
        <v>0</v>
      </c>
      <c r="I62" s="121">
        <f t="shared" si="14"/>
        <v>0</v>
      </c>
      <c r="J62" s="121">
        <f t="shared" si="14"/>
        <v>9.3431190730203062E-2</v>
      </c>
      <c r="K62" s="121">
        <f t="shared" si="14"/>
        <v>6.7308693014380264E-2</v>
      </c>
      <c r="L62" s="121">
        <f t="shared" si="14"/>
        <v>6.146489540205774E-2</v>
      </c>
      <c r="M62" s="121">
        <f t="shared" si="14"/>
        <v>5.388436466188154E-2</v>
      </c>
      <c r="N62" s="121">
        <f t="shared" si="14"/>
        <v>4.8780508018384745E-2</v>
      </c>
      <c r="O62" s="121">
        <f t="shared" si="14"/>
        <v>4.3254142637107369E-2</v>
      </c>
      <c r="P62" s="121">
        <f t="shared" si="14"/>
        <v>5.680511775801142E-2</v>
      </c>
      <c r="Q62" s="121">
        <f t="shared" si="14"/>
        <v>7.1310068244242242E-2</v>
      </c>
      <c r="R62" s="121">
        <f t="shared" si="14"/>
        <v>7.6964002493463315E-2</v>
      </c>
      <c r="S62" s="121">
        <f t="shared" si="14"/>
        <v>0.10124553624333044</v>
      </c>
      <c r="T62" s="121">
        <f t="shared" si="14"/>
        <v>0.16121281724147596</v>
      </c>
      <c r="U62" s="121">
        <f t="shared" si="14"/>
        <v>0.27451022664963831</v>
      </c>
      <c r="V62" s="121">
        <f t="shared" si="14"/>
        <v>0.27339349214976127</v>
      </c>
      <c r="W62" s="121">
        <f t="shared" si="14"/>
        <v>0.26883698113434051</v>
      </c>
      <c r="X62" s="121">
        <f t="shared" si="14"/>
        <v>0.26452782594065205</v>
      </c>
      <c r="Y62" s="121">
        <f t="shared" si="14"/>
        <v>0.24449052995276294</v>
      </c>
      <c r="Z62" s="121">
        <f t="shared" si="14"/>
        <v>0.24242568515386681</v>
      </c>
      <c r="AA62" s="121">
        <f t="shared" si="14"/>
        <v>0.25137148043803115</v>
      </c>
      <c r="AB62" s="104">
        <f t="shared" si="14"/>
        <v>0.32385811438188272</v>
      </c>
      <c r="AC62" s="104">
        <f t="shared" si="14"/>
        <v>0.30573143544773451</v>
      </c>
      <c r="AD62" s="5"/>
      <c r="AE62" s="122">
        <f t="shared" ref="AE62:AE63" si="15">MIN(D62:AB62)</f>
        <v>0</v>
      </c>
      <c r="AF62" s="122">
        <f t="shared" ref="AF62:AF63" si="16">MAX(D62:AB62)</f>
        <v>0.32385811438188272</v>
      </c>
    </row>
    <row r="63" spans="1:32" s="46" customFormat="1" ht="20.100000000000001" customHeight="1" x14ac:dyDescent="0.2">
      <c r="A63" s="119" t="s">
        <v>221</v>
      </c>
      <c r="C63" s="47"/>
      <c r="D63" s="104">
        <f>SUM(D46:D50)/D35</f>
        <v>0</v>
      </c>
      <c r="E63" s="104">
        <f t="shared" ref="E63:AC63" si="17">SUM(E46:E50)/E35</f>
        <v>3.2384957102648444E-3</v>
      </c>
      <c r="F63" s="104">
        <f t="shared" si="17"/>
        <v>2.7052993846933972E-2</v>
      </c>
      <c r="G63" s="121">
        <f t="shared" si="17"/>
        <v>0.11069031416878776</v>
      </c>
      <c r="H63" s="121">
        <f t="shared" si="17"/>
        <v>8.8542283855476425E-2</v>
      </c>
      <c r="I63" s="121">
        <f t="shared" si="17"/>
        <v>0.1123339393406862</v>
      </c>
      <c r="J63" s="121">
        <f t="shared" si="17"/>
        <v>0.15298557558236092</v>
      </c>
      <c r="K63" s="121">
        <f t="shared" si="17"/>
        <v>0.12712444303683879</v>
      </c>
      <c r="L63" s="121">
        <f t="shared" si="17"/>
        <v>2.5239886492954531E-2</v>
      </c>
      <c r="M63" s="121">
        <f t="shared" si="17"/>
        <v>2.9936784756866782E-2</v>
      </c>
      <c r="N63" s="121">
        <f t="shared" si="17"/>
        <v>2.269047459512125E-2</v>
      </c>
      <c r="O63" s="121">
        <f t="shared" si="17"/>
        <v>2.0569849223153407E-2</v>
      </c>
      <c r="P63" s="121">
        <f t="shared" si="17"/>
        <v>2.6326529672040164E-2</v>
      </c>
      <c r="Q63" s="121">
        <f t="shared" si="17"/>
        <v>2.6833132624170468E-2</v>
      </c>
      <c r="R63" s="121">
        <f t="shared" si="17"/>
        <v>2.6805577355551793E-2</v>
      </c>
      <c r="S63" s="121">
        <f t="shared" si="17"/>
        <v>3.9093930207774102E-2</v>
      </c>
      <c r="T63" s="121">
        <f t="shared" si="17"/>
        <v>4.2820874989335393E-2</v>
      </c>
      <c r="U63" s="121">
        <f t="shared" si="17"/>
        <v>0</v>
      </c>
      <c r="V63" s="121">
        <f t="shared" si="17"/>
        <v>0</v>
      </c>
      <c r="W63" s="121">
        <f t="shared" si="17"/>
        <v>0</v>
      </c>
      <c r="X63" s="121">
        <f t="shared" si="17"/>
        <v>0</v>
      </c>
      <c r="Y63" s="121">
        <f t="shared" si="17"/>
        <v>0</v>
      </c>
      <c r="Z63" s="121">
        <f t="shared" si="17"/>
        <v>0</v>
      </c>
      <c r="AA63" s="121">
        <f t="shared" si="17"/>
        <v>0</v>
      </c>
      <c r="AB63" s="104">
        <f t="shared" si="17"/>
        <v>0</v>
      </c>
      <c r="AC63" s="104">
        <f t="shared" si="17"/>
        <v>0</v>
      </c>
      <c r="AD63" s="5"/>
      <c r="AE63" s="122">
        <f t="shared" si="15"/>
        <v>0</v>
      </c>
      <c r="AF63" s="122">
        <f t="shared" si="16"/>
        <v>0.15298557558236092</v>
      </c>
    </row>
    <row r="64" spans="1:32" s="46" customFormat="1" ht="20.100000000000001" customHeight="1" x14ac:dyDescent="0.2">
      <c r="A64" s="45" t="s">
        <v>220</v>
      </c>
      <c r="C64" s="47"/>
      <c r="D64" s="104">
        <f>(D51+D52+D53+D54)/D57</f>
        <v>2.8990906194835502E-2</v>
      </c>
      <c r="E64" s="104">
        <f t="shared" ref="E64:AC64" si="18">(E51+E52+E53+E54)/E57</f>
        <v>3.034312592414682E-2</v>
      </c>
      <c r="F64" s="104">
        <f t="shared" si="18"/>
        <v>3.1291191804459294E-2</v>
      </c>
      <c r="G64" s="121">
        <f t="shared" si="18"/>
        <v>3.0157834894348545E-2</v>
      </c>
      <c r="H64" s="121">
        <f t="shared" si="18"/>
        <v>3.2036735918614459E-2</v>
      </c>
      <c r="I64" s="121">
        <f t="shared" si="18"/>
        <v>3.2540802414004678E-2</v>
      </c>
      <c r="J64" s="121">
        <f t="shared" si="18"/>
        <v>3.3055509673111709E-2</v>
      </c>
      <c r="K64" s="121">
        <f t="shared" si="18"/>
        <v>3.4303533321714146E-2</v>
      </c>
      <c r="L64" s="121">
        <f t="shared" si="18"/>
        <v>2.233277363804927E-2</v>
      </c>
      <c r="M64" s="121">
        <f t="shared" si="18"/>
        <v>1.1578539672348466E-2</v>
      </c>
      <c r="N64" s="121">
        <f t="shared" si="18"/>
        <v>1.6183937215437191E-2</v>
      </c>
      <c r="O64" s="121">
        <f t="shared" si="18"/>
        <v>2.2753651756942581E-2</v>
      </c>
      <c r="P64" s="121">
        <f t="shared" si="18"/>
        <v>8.0886340433491237E-3</v>
      </c>
      <c r="Q64" s="121">
        <f t="shared" si="18"/>
        <v>5.5929374396995642E-3</v>
      </c>
      <c r="R64" s="121">
        <f t="shared" si="18"/>
        <v>5.0228559392557189E-3</v>
      </c>
      <c r="S64" s="121">
        <f t="shared" si="18"/>
        <v>5.6008583776906203E-3</v>
      </c>
      <c r="T64" s="121">
        <f t="shared" si="18"/>
        <v>9.2954503832073272E-3</v>
      </c>
      <c r="U64" s="121">
        <f t="shared" si="18"/>
        <v>6.9203005957833236E-3</v>
      </c>
      <c r="V64" s="121">
        <f t="shared" si="18"/>
        <v>6.0733474227712136E-3</v>
      </c>
      <c r="W64" s="121">
        <f t="shared" si="18"/>
        <v>6.767969444116311E-3</v>
      </c>
      <c r="X64" s="121">
        <f t="shared" si="18"/>
        <v>2.6821369071525279E-3</v>
      </c>
      <c r="Y64" s="121">
        <f t="shared" si="18"/>
        <v>3.4547937333452715E-3</v>
      </c>
      <c r="Z64" s="121">
        <f t="shared" si="18"/>
        <v>1.5839645542167202E-3</v>
      </c>
      <c r="AA64" s="121">
        <f t="shared" si="18"/>
        <v>5.3437310558533428E-3</v>
      </c>
      <c r="AB64" s="104">
        <f t="shared" si="18"/>
        <v>7.6938264934501227E-3</v>
      </c>
      <c r="AC64" s="104">
        <f t="shared" si="18"/>
        <v>5.9639823607267892E-3</v>
      </c>
      <c r="AD64" s="5"/>
      <c r="AE64" s="5"/>
      <c r="AF64" s="5"/>
    </row>
    <row r="65" spans="1:32" s="6" customFormat="1" ht="30" customHeight="1" x14ac:dyDescent="0.25">
      <c r="A65" s="1" t="s">
        <v>138</v>
      </c>
      <c r="B65" s="1" t="s">
        <v>139</v>
      </c>
      <c r="C65" s="48"/>
      <c r="D65" s="3"/>
      <c r="E65" s="3"/>
      <c r="F65" s="3"/>
      <c r="G65" s="3"/>
      <c r="H65" s="4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49"/>
      <c r="AE65" s="49"/>
      <c r="AF65" s="49"/>
    </row>
    <row r="66" spans="1:32" s="6" customFormat="1" ht="24.95" customHeight="1" thickBot="1" x14ac:dyDescent="0.25">
      <c r="A66" s="50"/>
      <c r="B66" s="51"/>
      <c r="C66" s="52"/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6"/>
      <c r="S66" s="96"/>
      <c r="T66" s="96"/>
      <c r="U66" s="96"/>
      <c r="V66" s="96"/>
      <c r="W66" s="96"/>
      <c r="X66" s="96"/>
      <c r="Y66" s="96"/>
      <c r="Z66" s="96"/>
      <c r="AA66" s="96"/>
      <c r="AB66" s="96"/>
      <c r="AC66" s="96"/>
      <c r="AD66" s="5"/>
      <c r="AE66" s="5"/>
      <c r="AF66" s="5"/>
    </row>
    <row r="67" spans="1:32" s="21" customFormat="1" ht="30" customHeight="1" x14ac:dyDescent="0.2">
      <c r="A67" s="18" t="s">
        <v>140</v>
      </c>
      <c r="B67" s="18" t="s">
        <v>141</v>
      </c>
      <c r="C67" s="53"/>
      <c r="D67" s="20" t="str">
        <f t="shared" ref="D67:AC67" si="19">D22</f>
        <v xml:space="preserve"> 2000 </v>
      </c>
      <c r="E67" s="20" t="str">
        <f t="shared" si="19"/>
        <v xml:space="preserve"> 2001 </v>
      </c>
      <c r="F67" s="20" t="str">
        <f t="shared" si="19"/>
        <v xml:space="preserve"> 2002 </v>
      </c>
      <c r="G67" s="20" t="str">
        <f t="shared" si="19"/>
        <v xml:space="preserve"> 2003 </v>
      </c>
      <c r="H67" s="20" t="str">
        <f t="shared" si="19"/>
        <v xml:space="preserve"> 2004 </v>
      </c>
      <c r="I67" s="20" t="str">
        <f t="shared" si="19"/>
        <v xml:space="preserve"> 2005 </v>
      </c>
      <c r="J67" s="20" t="str">
        <f t="shared" si="19"/>
        <v xml:space="preserve"> 2006 </v>
      </c>
      <c r="K67" s="20" t="str">
        <f t="shared" si="19"/>
        <v xml:space="preserve"> 2007 </v>
      </c>
      <c r="L67" s="20" t="str">
        <f t="shared" si="19"/>
        <v xml:space="preserve"> 2008 </v>
      </c>
      <c r="M67" s="20" t="str">
        <f t="shared" si="19"/>
        <v xml:space="preserve"> 2009 </v>
      </c>
      <c r="N67" s="20" t="str">
        <f t="shared" si="19"/>
        <v xml:space="preserve"> 2010 </v>
      </c>
      <c r="O67" s="20" t="str">
        <f t="shared" si="19"/>
        <v xml:space="preserve"> 2011 </v>
      </c>
      <c r="P67" s="20" t="str">
        <f t="shared" si="19"/>
        <v xml:space="preserve"> 2012 </v>
      </c>
      <c r="Q67" s="20" t="str">
        <f t="shared" si="19"/>
        <v xml:space="preserve"> 2013 </v>
      </c>
      <c r="R67" s="20" t="str">
        <f t="shared" si="19"/>
        <v xml:space="preserve"> 2014 </v>
      </c>
      <c r="S67" s="20" t="str">
        <f t="shared" si="19"/>
        <v xml:space="preserve"> 2015 </v>
      </c>
      <c r="T67" s="20" t="str">
        <f t="shared" si="19"/>
        <v xml:space="preserve"> 2016 </v>
      </c>
      <c r="U67" s="20" t="str">
        <f t="shared" si="19"/>
        <v xml:space="preserve"> 2017 </v>
      </c>
      <c r="V67" s="20" t="str">
        <f t="shared" si="19"/>
        <v xml:space="preserve"> 2018 </v>
      </c>
      <c r="W67" s="20" t="str">
        <f t="shared" si="19"/>
        <v xml:space="preserve"> 2019 </v>
      </c>
      <c r="X67" s="20" t="str">
        <f t="shared" si="19"/>
        <v xml:space="preserve"> 2020 </v>
      </c>
      <c r="Y67" s="20" t="str">
        <f t="shared" si="19"/>
        <v xml:space="preserve"> 2021 </v>
      </c>
      <c r="Z67" s="20" t="str">
        <f t="shared" si="19"/>
        <v xml:space="preserve"> 2022 </v>
      </c>
      <c r="AA67" s="20" t="str">
        <f t="shared" si="19"/>
        <v xml:space="preserve"> 2023 </v>
      </c>
      <c r="AB67" s="20" t="str">
        <f t="shared" si="19"/>
        <v xml:space="preserve"> 2024 </v>
      </c>
      <c r="AC67" s="20" t="str">
        <f t="shared" si="19"/>
        <v xml:space="preserve"> 2025 </v>
      </c>
      <c r="AD67" s="5"/>
      <c r="AE67" s="5"/>
      <c r="AF67" s="5"/>
    </row>
    <row r="68" spans="1:32" s="26" customFormat="1" ht="20.100000000000001" customHeight="1" x14ac:dyDescent="0.2">
      <c r="A68" s="31" t="s">
        <v>142</v>
      </c>
      <c r="B68" s="31" t="s">
        <v>143</v>
      </c>
      <c r="C68" s="32" t="s">
        <v>144</v>
      </c>
      <c r="D68" s="33">
        <v>3050596.5320000001</v>
      </c>
      <c r="E68" s="33">
        <v>3219812.09</v>
      </c>
      <c r="F68" s="33">
        <v>3284937.7540699998</v>
      </c>
      <c r="G68" s="33">
        <v>3443087.19728</v>
      </c>
      <c r="H68" s="33">
        <v>3603657.62678</v>
      </c>
      <c r="I68" s="33">
        <v>3718895.5246299999</v>
      </c>
      <c r="J68" s="33">
        <v>3858909.4742399999</v>
      </c>
      <c r="K68" s="33">
        <v>4115607.8432700001</v>
      </c>
      <c r="L68" s="33">
        <v>3209989.7250999999</v>
      </c>
      <c r="M68" s="33">
        <v>3417902.6918899999</v>
      </c>
      <c r="N68" s="33">
        <v>3558090.082440001</v>
      </c>
      <c r="O68" s="33">
        <v>3731500.3820000002</v>
      </c>
      <c r="P68" s="33">
        <v>3902970.67</v>
      </c>
      <c r="Q68" s="33">
        <v>4048584.4737</v>
      </c>
      <c r="R68" s="33">
        <v>3955916.6090000002</v>
      </c>
      <c r="S68" s="33">
        <v>3774040.1850000001</v>
      </c>
      <c r="T68" s="33">
        <v>3947316.4759999998</v>
      </c>
      <c r="U68" s="33">
        <v>4131019.892</v>
      </c>
      <c r="V68" s="33">
        <v>4312070.2880000006</v>
      </c>
      <c r="W68" s="33">
        <v>4469125.472000001</v>
      </c>
      <c r="X68" s="33">
        <v>7994299.0904400004</v>
      </c>
      <c r="Y68" s="33">
        <v>6891578.8302300004</v>
      </c>
      <c r="Z68" s="33">
        <v>5544162.5751900002</v>
      </c>
      <c r="AA68" s="33">
        <v>6011794.9542700006</v>
      </c>
      <c r="AB68" s="33">
        <v>6523117.9073465457</v>
      </c>
      <c r="AC68" s="33">
        <v>6880231.9674425861</v>
      </c>
      <c r="AD68" s="25"/>
      <c r="AE68" s="25"/>
      <c r="AF68" s="25"/>
    </row>
    <row r="69" spans="1:32" s="30" customFormat="1" ht="15.95" customHeight="1" x14ac:dyDescent="0.2">
      <c r="A69" s="27" t="s">
        <v>87</v>
      </c>
      <c r="B69" s="27" t="s">
        <v>88</v>
      </c>
      <c r="C69" s="28" t="s">
        <v>145</v>
      </c>
      <c r="D69" s="29">
        <v>790305</v>
      </c>
      <c r="E69" s="29">
        <v>866207.78</v>
      </c>
      <c r="F69" s="29">
        <v>880710.95906999998</v>
      </c>
      <c r="G69" s="29">
        <v>967235.05428000004</v>
      </c>
      <c r="H69" s="29">
        <v>1055292.04183</v>
      </c>
      <c r="I69" s="29">
        <v>1077003.91383</v>
      </c>
      <c r="J69" s="29">
        <v>1100895.64534</v>
      </c>
      <c r="K69" s="29">
        <v>1196314.8734200001</v>
      </c>
      <c r="L69" s="29" t="s">
        <v>47</v>
      </c>
      <c r="M69" s="29" t="s">
        <v>47</v>
      </c>
      <c r="N69" s="29" t="s">
        <v>47</v>
      </c>
      <c r="O69" s="29" t="s">
        <v>47</v>
      </c>
      <c r="P69" s="29" t="s">
        <v>47</v>
      </c>
      <c r="Q69" s="29" t="s">
        <v>47</v>
      </c>
      <c r="R69" s="29" t="s">
        <v>47</v>
      </c>
      <c r="S69" s="29" t="s">
        <v>47</v>
      </c>
      <c r="T69" s="29" t="s">
        <v>47</v>
      </c>
      <c r="U69" s="29" t="s">
        <v>47</v>
      </c>
      <c r="V69" s="29" t="s">
        <v>47</v>
      </c>
      <c r="W69" s="29" t="s">
        <v>47</v>
      </c>
      <c r="X69" s="29" t="s">
        <v>47</v>
      </c>
      <c r="Y69" s="29" t="s">
        <v>47</v>
      </c>
      <c r="Z69" s="29" t="s">
        <v>47</v>
      </c>
      <c r="AA69" s="29" t="s">
        <v>47</v>
      </c>
      <c r="AB69" s="29" t="s">
        <v>47</v>
      </c>
      <c r="AC69" s="29" t="s">
        <v>47</v>
      </c>
      <c r="AD69" s="5"/>
      <c r="AE69" s="5"/>
      <c r="AF69" s="5"/>
    </row>
    <row r="70" spans="1:32" s="30" customFormat="1" ht="15.95" customHeight="1" x14ac:dyDescent="0.2">
      <c r="A70" s="27" t="s">
        <v>146</v>
      </c>
      <c r="B70" s="27" t="s">
        <v>147</v>
      </c>
      <c r="C70" s="28" t="s">
        <v>148</v>
      </c>
      <c r="D70" s="29">
        <v>140303.38</v>
      </c>
      <c r="E70" s="29">
        <v>153243</v>
      </c>
      <c r="F70" s="29">
        <v>165744.1</v>
      </c>
      <c r="G70" s="29">
        <v>187002</v>
      </c>
      <c r="H70" s="29">
        <v>195907</v>
      </c>
      <c r="I70" s="29">
        <v>202418.5148</v>
      </c>
      <c r="J70" s="29">
        <v>221542</v>
      </c>
      <c r="K70" s="29">
        <v>251877</v>
      </c>
      <c r="L70" s="29">
        <v>278240.50652</v>
      </c>
      <c r="M70" s="29">
        <v>300232.52113000001</v>
      </c>
      <c r="N70" s="29">
        <v>321182.81043999997</v>
      </c>
      <c r="O70" s="29">
        <v>343269.72918999998</v>
      </c>
      <c r="P70" s="29">
        <v>359176</v>
      </c>
      <c r="Q70" s="29">
        <v>380505</v>
      </c>
      <c r="R70" s="29">
        <v>394654</v>
      </c>
      <c r="S70" s="29">
        <v>410838</v>
      </c>
      <c r="T70" s="29">
        <v>433303</v>
      </c>
      <c r="U70" s="29">
        <v>458855</v>
      </c>
      <c r="V70" s="29">
        <v>502740</v>
      </c>
      <c r="W70" s="29">
        <v>548261</v>
      </c>
      <c r="X70" s="29">
        <v>592439.06186000048</v>
      </c>
      <c r="Y70" s="29">
        <v>623788.82206999918</v>
      </c>
      <c r="Z70" s="29">
        <v>722768</v>
      </c>
      <c r="AA70" s="29">
        <v>822105</v>
      </c>
      <c r="AB70" s="29">
        <v>915398.54589654563</v>
      </c>
      <c r="AC70" s="29">
        <v>1031244.0344425868</v>
      </c>
      <c r="AD70" s="101">
        <f>AB70/$AB$68</f>
        <v>0.14033144255534524</v>
      </c>
      <c r="AE70" s="118">
        <f>AB70/AB$84</f>
        <v>8.8321866776913657E-2</v>
      </c>
      <c r="AF70" s="5"/>
    </row>
    <row r="71" spans="1:32" s="30" customFormat="1" ht="15.95" customHeight="1" x14ac:dyDescent="0.2">
      <c r="A71" s="27" t="s">
        <v>149</v>
      </c>
      <c r="B71" s="27" t="s">
        <v>150</v>
      </c>
      <c r="C71" s="28" t="s">
        <v>151</v>
      </c>
      <c r="D71" s="29">
        <v>1803594.21</v>
      </c>
      <c r="E71" s="29">
        <v>1867777.31</v>
      </c>
      <c r="F71" s="29">
        <v>1905155.8629999999</v>
      </c>
      <c r="G71" s="29">
        <v>1959123.6429999999</v>
      </c>
      <c r="H71" s="29">
        <v>2023327.2743299999</v>
      </c>
      <c r="I71" s="29">
        <v>2109255.0359999998</v>
      </c>
      <c r="J71" s="29">
        <v>2197450.8771700002</v>
      </c>
      <c r="K71" s="29">
        <v>2310721.59032</v>
      </c>
      <c r="L71" s="29">
        <v>2537188.9114100002</v>
      </c>
      <c r="M71" s="29">
        <v>2693690.83776</v>
      </c>
      <c r="N71" s="29">
        <v>2805402.7590000001</v>
      </c>
      <c r="O71" s="29">
        <v>2952058.8049400002</v>
      </c>
      <c r="P71" s="29">
        <v>3096521.2719999999</v>
      </c>
      <c r="Q71" s="29">
        <v>3214069.8944100002</v>
      </c>
      <c r="R71" s="29">
        <v>3288618</v>
      </c>
      <c r="S71" s="29">
        <v>3355579</v>
      </c>
      <c r="T71" s="29">
        <v>3505803</v>
      </c>
      <c r="U71" s="29">
        <v>3664338</v>
      </c>
      <c r="V71" s="29">
        <v>3802437.7110000001</v>
      </c>
      <c r="W71" s="29">
        <v>3913949.6630000002</v>
      </c>
      <c r="X71" s="29">
        <v>4020124.36057</v>
      </c>
      <c r="Y71" s="29">
        <v>4190465.5160200009</v>
      </c>
      <c r="Z71" s="29">
        <v>4698858.4030100014</v>
      </c>
      <c r="AA71" s="29">
        <v>5211187.6452600006</v>
      </c>
      <c r="AB71" s="29">
        <v>5597803</v>
      </c>
      <c r="AC71" s="29">
        <v>5833430.2409999995</v>
      </c>
      <c r="AD71" s="101">
        <f t="shared" ref="AD71:AD74" si="20">AB71/$AB$68</f>
        <v>0.85814837007553912</v>
      </c>
      <c r="AE71" s="118">
        <f t="shared" ref="AE71:AE74" si="21">AB71/AB$84</f>
        <v>0.54010180923455775</v>
      </c>
      <c r="AF71" s="5"/>
    </row>
    <row r="72" spans="1:32" s="30" customFormat="1" ht="15.95" customHeight="1" x14ac:dyDescent="0.2">
      <c r="A72" s="27" t="s">
        <v>152</v>
      </c>
      <c r="B72" s="27" t="s">
        <v>153</v>
      </c>
      <c r="C72" s="28" t="s">
        <v>154</v>
      </c>
      <c r="D72" s="29">
        <v>315979.96000000002</v>
      </c>
      <c r="E72" s="29">
        <v>332232</v>
      </c>
      <c r="F72" s="29">
        <v>332214.53399999999</v>
      </c>
      <c r="G72" s="29">
        <v>328153.37400000001</v>
      </c>
      <c r="H72" s="29">
        <v>327324.48712000001</v>
      </c>
      <c r="I72" s="29">
        <v>328365.51199999999</v>
      </c>
      <c r="J72" s="29">
        <v>337372.65466</v>
      </c>
      <c r="K72" s="29">
        <v>355030.59268</v>
      </c>
      <c r="L72" s="29">
        <v>390458.63795</v>
      </c>
      <c r="M72" s="29">
        <v>415233.201</v>
      </c>
      <c r="N72" s="29">
        <v>413164.08</v>
      </c>
      <c r="O72" s="29">
        <v>422851.38647999999</v>
      </c>
      <c r="P72" s="29">
        <v>437262.36499999999</v>
      </c>
      <c r="Q72" s="29">
        <v>447124.99475999997</v>
      </c>
      <c r="R72" s="29">
        <v>264774.00400000002</v>
      </c>
      <c r="S72" s="29" t="s">
        <v>47</v>
      </c>
      <c r="T72" s="29" t="s">
        <v>47</v>
      </c>
      <c r="U72" s="29" t="s">
        <v>47</v>
      </c>
      <c r="V72" s="29" t="s">
        <v>47</v>
      </c>
      <c r="W72" s="29" t="s">
        <v>47</v>
      </c>
      <c r="X72" s="29" t="s">
        <v>47</v>
      </c>
      <c r="Y72" s="29" t="s">
        <v>47</v>
      </c>
      <c r="Z72" s="29" t="s">
        <v>47</v>
      </c>
      <c r="AA72" s="29" t="s">
        <v>47</v>
      </c>
      <c r="AB72" s="29" t="s">
        <v>47</v>
      </c>
      <c r="AC72" s="29" t="s">
        <v>47</v>
      </c>
      <c r="AD72" s="101"/>
      <c r="AE72" s="118"/>
      <c r="AF72" s="5"/>
    </row>
    <row r="73" spans="1:32" s="30" customFormat="1" ht="15.95" customHeight="1" x14ac:dyDescent="0.2">
      <c r="A73" s="27" t="s">
        <v>155</v>
      </c>
      <c r="B73" s="27" t="s">
        <v>156</v>
      </c>
      <c r="C73" s="28" t="s">
        <v>157</v>
      </c>
      <c r="D73" s="29">
        <v>413.98200000000003</v>
      </c>
      <c r="E73" s="29">
        <v>352</v>
      </c>
      <c r="F73" s="29">
        <v>1112.298</v>
      </c>
      <c r="G73" s="29">
        <v>1573.126</v>
      </c>
      <c r="H73" s="29">
        <v>1806.8235</v>
      </c>
      <c r="I73" s="29">
        <v>1852.548</v>
      </c>
      <c r="J73" s="29">
        <v>1648.2970700000001</v>
      </c>
      <c r="K73" s="29">
        <v>1663.78685</v>
      </c>
      <c r="L73" s="29">
        <v>4101.6692199999998</v>
      </c>
      <c r="M73" s="29">
        <v>8746.1319999999996</v>
      </c>
      <c r="N73" s="29">
        <v>18336.75</v>
      </c>
      <c r="O73" s="29">
        <v>13302.51024</v>
      </c>
      <c r="P73" s="29">
        <v>9999.2690000000002</v>
      </c>
      <c r="Q73" s="29">
        <v>6876.9152999999997</v>
      </c>
      <c r="R73" s="29">
        <v>7867.1080000000002</v>
      </c>
      <c r="S73" s="29">
        <v>7593.5870000000004</v>
      </c>
      <c r="T73" s="29">
        <v>7173.5559999999996</v>
      </c>
      <c r="U73" s="29">
        <v>6350.0469999999996</v>
      </c>
      <c r="V73" s="29">
        <v>5089.2969999999996</v>
      </c>
      <c r="W73" s="29">
        <v>4722.9030000000002</v>
      </c>
      <c r="X73" s="29">
        <v>3379352.287</v>
      </c>
      <c r="Y73" s="29">
        <v>2074848.463</v>
      </c>
      <c r="Z73" s="29">
        <v>118930.60673</v>
      </c>
      <c r="AA73" s="29">
        <v>-26062.040489999999</v>
      </c>
      <c r="AB73" s="29">
        <v>4708.5915700000005</v>
      </c>
      <c r="AC73" s="29">
        <v>9646.4039999999986</v>
      </c>
      <c r="AD73" s="101">
        <f t="shared" si="20"/>
        <v>7.2183143657376372E-4</v>
      </c>
      <c r="AE73" s="118">
        <f t="shared" si="21"/>
        <v>4.5430659598124246E-4</v>
      </c>
      <c r="AF73" s="5"/>
    </row>
    <row r="74" spans="1:32" s="30" customFormat="1" ht="15.95" customHeight="1" x14ac:dyDescent="0.2">
      <c r="A74" s="27" t="s">
        <v>158</v>
      </c>
      <c r="B74" s="27" t="s">
        <v>159</v>
      </c>
      <c r="C74" s="28" t="s">
        <v>160</v>
      </c>
      <c r="D74" s="29" t="s">
        <v>47</v>
      </c>
      <c r="E74" s="29" t="s">
        <v>47</v>
      </c>
      <c r="F74" s="29" t="s">
        <v>47</v>
      </c>
      <c r="G74" s="29" t="s">
        <v>47</v>
      </c>
      <c r="H74" s="29" t="s">
        <v>47</v>
      </c>
      <c r="I74" s="29" t="s">
        <v>47</v>
      </c>
      <c r="J74" s="29" t="s">
        <v>47</v>
      </c>
      <c r="K74" s="29" t="s">
        <v>47</v>
      </c>
      <c r="L74" s="29" t="s">
        <v>47</v>
      </c>
      <c r="M74" s="29" t="s">
        <v>47</v>
      </c>
      <c r="N74" s="29">
        <v>3.6829999999999998</v>
      </c>
      <c r="O74" s="29">
        <v>17.951149999999998</v>
      </c>
      <c r="P74" s="29">
        <v>11.763999999999999</v>
      </c>
      <c r="Q74" s="29">
        <v>7.6692299999999998</v>
      </c>
      <c r="R74" s="29">
        <v>3.4969999999999999</v>
      </c>
      <c r="S74" s="29">
        <v>29.597999999999999</v>
      </c>
      <c r="T74" s="29">
        <v>1036.92</v>
      </c>
      <c r="U74" s="29">
        <v>1476.845</v>
      </c>
      <c r="V74" s="29">
        <v>1803.28</v>
      </c>
      <c r="W74" s="29">
        <v>2191.9059999999999</v>
      </c>
      <c r="X74" s="29">
        <v>2383.3810100000001</v>
      </c>
      <c r="Y74" s="29">
        <v>2476.0291400000001</v>
      </c>
      <c r="Z74" s="29">
        <v>3605.5654500000001</v>
      </c>
      <c r="AA74" s="29">
        <v>4564.3495000000003</v>
      </c>
      <c r="AB74" s="29">
        <v>5207.7698799999998</v>
      </c>
      <c r="AC74" s="29">
        <v>5911.2879999999996</v>
      </c>
      <c r="AD74" s="101">
        <f t="shared" si="20"/>
        <v>7.9835593254183579E-4</v>
      </c>
      <c r="AE74" s="118">
        <f t="shared" si="21"/>
        <v>5.0246961785994177E-4</v>
      </c>
      <c r="AF74" s="5"/>
    </row>
    <row r="75" spans="1:32" s="26" customFormat="1" ht="15.95" customHeight="1" x14ac:dyDescent="0.2">
      <c r="A75" s="31" t="s">
        <v>161</v>
      </c>
      <c r="B75" s="31" t="s">
        <v>162</v>
      </c>
      <c r="C75" s="32" t="s">
        <v>163</v>
      </c>
      <c r="D75" s="33" t="s">
        <v>47</v>
      </c>
      <c r="E75" s="33" t="s">
        <v>47</v>
      </c>
      <c r="F75" s="33" t="s">
        <v>47</v>
      </c>
      <c r="G75" s="33" t="s">
        <v>47</v>
      </c>
      <c r="H75" s="33" t="s">
        <v>47</v>
      </c>
      <c r="I75" s="33" t="s">
        <v>47</v>
      </c>
      <c r="J75" s="33" t="s">
        <v>47</v>
      </c>
      <c r="K75" s="33" t="s">
        <v>47</v>
      </c>
      <c r="L75" s="33" t="s">
        <v>47</v>
      </c>
      <c r="M75" s="33" t="s">
        <v>47</v>
      </c>
      <c r="N75" s="33" t="s">
        <v>47</v>
      </c>
      <c r="O75" s="33">
        <v>0</v>
      </c>
      <c r="P75" s="33" t="s">
        <v>47</v>
      </c>
      <c r="Q75" s="33">
        <v>0</v>
      </c>
      <c r="R75" s="33" t="s">
        <v>47</v>
      </c>
      <c r="S75" s="33" t="s">
        <v>47</v>
      </c>
      <c r="T75" s="33">
        <v>0</v>
      </c>
      <c r="U75" s="33" t="s">
        <v>47</v>
      </c>
      <c r="V75" s="33" t="s">
        <v>47</v>
      </c>
      <c r="W75" s="33" t="s">
        <v>47</v>
      </c>
      <c r="X75" s="33" t="s">
        <v>47</v>
      </c>
      <c r="Y75" s="33">
        <v>0</v>
      </c>
      <c r="Z75" s="33">
        <v>0</v>
      </c>
      <c r="AA75" s="33">
        <v>0</v>
      </c>
      <c r="AB75" s="33">
        <v>0</v>
      </c>
      <c r="AC75" s="33">
        <v>63800</v>
      </c>
      <c r="AD75" s="5"/>
      <c r="AE75" s="25"/>
      <c r="AF75" s="25"/>
    </row>
    <row r="76" spans="1:32" s="26" customFormat="1" ht="15.95" customHeight="1" x14ac:dyDescent="0.2">
      <c r="A76" s="31" t="s">
        <v>164</v>
      </c>
      <c r="B76" s="31" t="s">
        <v>165</v>
      </c>
      <c r="C76" s="32" t="s">
        <v>166</v>
      </c>
      <c r="D76" s="33">
        <v>2058.0100000000002</v>
      </c>
      <c r="E76" s="33">
        <v>1996.04</v>
      </c>
      <c r="F76" s="33">
        <v>1911.133</v>
      </c>
      <c r="G76" s="33">
        <v>1732.13328</v>
      </c>
      <c r="H76" s="33">
        <v>1793.335</v>
      </c>
      <c r="I76" s="33">
        <v>1514.69201</v>
      </c>
      <c r="J76" s="33">
        <v>1453.9768200000001</v>
      </c>
      <c r="K76" s="33">
        <v>1477.46029</v>
      </c>
      <c r="L76" s="33">
        <v>1363.6747800000001</v>
      </c>
      <c r="M76" s="33">
        <v>1299.1858199999999</v>
      </c>
      <c r="N76" s="33">
        <v>686</v>
      </c>
      <c r="O76" s="33">
        <v>549.11623999999995</v>
      </c>
      <c r="P76" s="33">
        <v>406.57749000000001</v>
      </c>
      <c r="Q76" s="33">
        <v>438.27742999999998</v>
      </c>
      <c r="R76" s="33">
        <v>440</v>
      </c>
      <c r="S76" s="33">
        <v>411</v>
      </c>
      <c r="T76" s="33">
        <v>423</v>
      </c>
      <c r="U76" s="33">
        <v>423</v>
      </c>
      <c r="V76" s="33">
        <v>476</v>
      </c>
      <c r="W76" s="33">
        <v>438</v>
      </c>
      <c r="X76" s="33">
        <v>423.60185000000001</v>
      </c>
      <c r="Y76" s="33">
        <v>378.92448999999999</v>
      </c>
      <c r="Z76" s="33">
        <v>387</v>
      </c>
      <c r="AA76" s="33">
        <v>349.09397999999999</v>
      </c>
      <c r="AB76" s="33">
        <v>379.96</v>
      </c>
      <c r="AC76" s="33">
        <v>360</v>
      </c>
      <c r="AD76" s="25"/>
      <c r="AE76" s="25"/>
      <c r="AF76" s="25"/>
    </row>
    <row r="77" spans="1:32" s="26" customFormat="1" ht="15.95" customHeight="1" x14ac:dyDescent="0.2">
      <c r="A77" s="31" t="s">
        <v>167</v>
      </c>
      <c r="B77" s="31" t="s">
        <v>168</v>
      </c>
      <c r="C77" s="32" t="s">
        <v>169</v>
      </c>
      <c r="D77" s="33">
        <v>95494.315999999992</v>
      </c>
      <c r="E77" s="33">
        <v>105529.838</v>
      </c>
      <c r="F77" s="33">
        <v>113128.35195</v>
      </c>
      <c r="G77" s="33">
        <v>109528.47265</v>
      </c>
      <c r="H77" s="33">
        <v>118139.13628999999</v>
      </c>
      <c r="I77" s="33">
        <v>123257.90703</v>
      </c>
      <c r="J77" s="33">
        <v>126815.95931999999</v>
      </c>
      <c r="K77" s="33">
        <v>132818.62212000001</v>
      </c>
      <c r="L77" s="33">
        <v>81372.05485</v>
      </c>
      <c r="M77" s="33">
        <v>81619.080900000001</v>
      </c>
      <c r="N77" s="33">
        <v>80633.021809999991</v>
      </c>
      <c r="O77" s="33">
        <v>82555.682100000005</v>
      </c>
      <c r="P77" s="33">
        <v>84854.387700000007</v>
      </c>
      <c r="Q77" s="33">
        <v>86143.206730000005</v>
      </c>
      <c r="R77" s="33">
        <v>129540.481</v>
      </c>
      <c r="S77" s="33">
        <v>92860.171999999991</v>
      </c>
      <c r="T77" s="33">
        <v>85599.308000000005</v>
      </c>
      <c r="U77" s="33">
        <v>91066.154999999999</v>
      </c>
      <c r="V77" s="33">
        <v>96166.166999999987</v>
      </c>
      <c r="W77" s="33">
        <v>109907.82399999999</v>
      </c>
      <c r="X77" s="33">
        <v>113614.46652</v>
      </c>
      <c r="Y77" s="33">
        <v>115399.71944</v>
      </c>
      <c r="Z77" s="33">
        <v>126927.15051000001</v>
      </c>
      <c r="AA77" s="33">
        <v>138581.88029</v>
      </c>
      <c r="AB77" s="33">
        <v>142072.72394</v>
      </c>
      <c r="AC77" s="33">
        <v>148005.17600000001</v>
      </c>
      <c r="AD77" s="25"/>
      <c r="AE77" s="25"/>
      <c r="AF77" s="25"/>
    </row>
    <row r="78" spans="1:32" s="26" customFormat="1" ht="15.95" customHeight="1" x14ac:dyDescent="0.2">
      <c r="A78" s="31" t="s">
        <v>120</v>
      </c>
      <c r="B78" s="31" t="s">
        <v>121</v>
      </c>
      <c r="C78" s="32" t="s">
        <v>170</v>
      </c>
      <c r="D78" s="33">
        <v>100627.423</v>
      </c>
      <c r="E78" s="33">
        <v>101480.287</v>
      </c>
      <c r="F78" s="33">
        <v>101951.5</v>
      </c>
      <c r="G78" s="33">
        <v>98975</v>
      </c>
      <c r="H78" s="33">
        <v>175132.40385</v>
      </c>
      <c r="I78" s="33">
        <v>208686.52900000001</v>
      </c>
      <c r="J78" s="33">
        <v>309900.47343999997</v>
      </c>
      <c r="K78" s="33">
        <v>243840.56682000001</v>
      </c>
      <c r="L78" s="33">
        <v>1907231.020231107</v>
      </c>
      <c r="M78" s="33">
        <v>2045783.6111812401</v>
      </c>
      <c r="N78" s="33">
        <v>2213184.9780907412</v>
      </c>
      <c r="O78" s="33">
        <v>2356227.793529999</v>
      </c>
      <c r="P78" s="33">
        <v>2252865.608</v>
      </c>
      <c r="Q78" s="33">
        <v>2355962.9093300002</v>
      </c>
      <c r="R78" s="33">
        <v>2684171.5249999999</v>
      </c>
      <c r="S78" s="33">
        <v>2185674.267</v>
      </c>
      <c r="T78" s="33">
        <v>2099328.168050623</v>
      </c>
      <c r="U78" s="33">
        <v>2449931.1529999999</v>
      </c>
      <c r="V78" s="33">
        <v>2519784.1690000002</v>
      </c>
      <c r="W78" s="33">
        <v>2603152.213</v>
      </c>
      <c r="X78" s="33">
        <v>2709805.2018599999</v>
      </c>
      <c r="Y78" s="33">
        <v>2825096.4286121931</v>
      </c>
      <c r="Z78" s="33">
        <v>3096818.5828900002</v>
      </c>
      <c r="AA78" s="33">
        <v>3149188.7230600002</v>
      </c>
      <c r="AB78" s="33">
        <v>3408056.4065299993</v>
      </c>
      <c r="AC78" s="33">
        <v>3607500.4170000004</v>
      </c>
      <c r="AD78" s="25"/>
      <c r="AE78" s="25"/>
      <c r="AF78" s="25"/>
    </row>
    <row r="79" spans="1:32" s="30" customFormat="1" ht="15.95" customHeight="1" x14ac:dyDescent="0.2">
      <c r="A79" s="27" t="s">
        <v>171</v>
      </c>
      <c r="B79" s="27" t="s">
        <v>172</v>
      </c>
      <c r="C79" s="97" t="s">
        <v>173</v>
      </c>
      <c r="D79" s="29">
        <v>92694.83</v>
      </c>
      <c r="E79" s="29">
        <v>95630</v>
      </c>
      <c r="F79" s="29">
        <v>97308.5</v>
      </c>
      <c r="G79" s="29">
        <v>98708</v>
      </c>
      <c r="H79" s="29">
        <v>99575.891000000003</v>
      </c>
      <c r="I79" s="29">
        <v>101106.69100000001</v>
      </c>
      <c r="J79" s="29">
        <v>103298.08100000001</v>
      </c>
      <c r="K79" s="29">
        <v>106704.173</v>
      </c>
      <c r="L79" s="29">
        <v>1905890.781231107</v>
      </c>
      <c r="M79" s="29">
        <v>2043984.6111812401</v>
      </c>
      <c r="N79" s="29">
        <v>2211414.3100907411</v>
      </c>
      <c r="O79" s="29">
        <v>2354492.3509999998</v>
      </c>
      <c r="P79" s="29">
        <v>2251135.5189999999</v>
      </c>
      <c r="Q79" s="29">
        <v>2354092.4389999998</v>
      </c>
      <c r="R79" s="29">
        <v>2442520.1529999999</v>
      </c>
      <c r="S79" s="29">
        <v>2183974.8450000002</v>
      </c>
      <c r="T79" s="29">
        <v>2098700.0210506232</v>
      </c>
      <c r="U79" s="29">
        <v>2449844.2059999998</v>
      </c>
      <c r="V79" s="29">
        <v>2519685.8560000001</v>
      </c>
      <c r="W79" s="29">
        <v>2603059.1170000001</v>
      </c>
      <c r="X79" s="29">
        <v>2709689.2119999998</v>
      </c>
      <c r="Y79" s="29">
        <v>2825003.5469621932</v>
      </c>
      <c r="Z79" s="29">
        <v>3096711.5329999998</v>
      </c>
      <c r="AA79" s="29">
        <v>3149073.35</v>
      </c>
      <c r="AB79" s="29">
        <v>3404006.5839999998</v>
      </c>
      <c r="AC79" s="29">
        <v>3603257.4870000002</v>
      </c>
      <c r="AD79" s="5"/>
      <c r="AE79" s="5"/>
      <c r="AF79" s="5"/>
    </row>
    <row r="80" spans="1:32" s="30" customFormat="1" ht="15.95" customHeight="1" x14ac:dyDescent="0.2">
      <c r="A80" s="27" t="s">
        <v>174</v>
      </c>
      <c r="B80" s="27" t="s">
        <v>175</v>
      </c>
      <c r="C80" s="97" t="s">
        <v>176</v>
      </c>
      <c r="D80" s="29">
        <v>0</v>
      </c>
      <c r="E80" s="29">
        <v>0</v>
      </c>
      <c r="F80" s="29">
        <v>0</v>
      </c>
      <c r="G80" s="29">
        <v>0</v>
      </c>
      <c r="H80" s="29">
        <v>0</v>
      </c>
      <c r="I80" s="29">
        <v>0</v>
      </c>
      <c r="J80" s="29">
        <v>641.99243999998725</v>
      </c>
      <c r="K80" s="29">
        <v>1610.3938199999975</v>
      </c>
      <c r="L80" s="29">
        <v>1340.2390000000596</v>
      </c>
      <c r="M80" s="29">
        <v>1799</v>
      </c>
      <c r="N80" s="29">
        <v>1770.6680000000633</v>
      </c>
      <c r="O80" s="29">
        <v>1735.4425299991854</v>
      </c>
      <c r="P80" s="29">
        <v>1730.0890000001527</v>
      </c>
      <c r="Q80" s="29">
        <v>1870.4703300003894</v>
      </c>
      <c r="R80" s="29">
        <v>241651.37199999997</v>
      </c>
      <c r="S80" s="29">
        <v>87.445999999996275</v>
      </c>
      <c r="T80" s="29">
        <v>106.1140000000596</v>
      </c>
      <c r="U80" s="29">
        <v>86.947000000160187</v>
      </c>
      <c r="V80" s="29">
        <v>98.313000000081956</v>
      </c>
      <c r="W80" s="29">
        <v>93.095999999903142</v>
      </c>
      <c r="X80" s="29">
        <v>115.98986000008881</v>
      </c>
      <c r="Y80" s="29">
        <v>92.881649999879301</v>
      </c>
      <c r="Z80" s="29">
        <v>107.04989000037313</v>
      </c>
      <c r="AA80" s="29">
        <v>115.37306000012904</v>
      </c>
      <c r="AB80" s="29">
        <v>49.822559999767691</v>
      </c>
      <c r="AC80" s="29">
        <v>115</v>
      </c>
      <c r="AD80" s="5"/>
      <c r="AE80" s="5"/>
      <c r="AF80" s="5"/>
    </row>
    <row r="81" spans="1:32" s="30" customFormat="1" ht="15.95" customHeight="1" x14ac:dyDescent="0.2">
      <c r="A81" s="27" t="s">
        <v>177</v>
      </c>
      <c r="B81" s="27" t="s">
        <v>178</v>
      </c>
      <c r="C81" s="97" t="s">
        <v>179</v>
      </c>
      <c r="D81" s="29">
        <v>7932.5929999999998</v>
      </c>
      <c r="E81" s="29">
        <v>5850.2870000000003</v>
      </c>
      <c r="F81" s="29">
        <v>4643</v>
      </c>
      <c r="G81" s="29">
        <v>267</v>
      </c>
      <c r="H81" s="29">
        <v>75556.512849999999</v>
      </c>
      <c r="I81" s="29">
        <v>107579.838</v>
      </c>
      <c r="J81" s="29">
        <v>205960.4</v>
      </c>
      <c r="K81" s="29">
        <v>135526</v>
      </c>
      <c r="L81" s="29" t="s">
        <v>47</v>
      </c>
      <c r="M81" s="29" t="s">
        <v>47</v>
      </c>
      <c r="N81" s="29" t="s">
        <v>47</v>
      </c>
      <c r="O81" s="29" t="s">
        <v>47</v>
      </c>
      <c r="P81" s="29" t="s">
        <v>47</v>
      </c>
      <c r="Q81" s="29" t="s">
        <v>47</v>
      </c>
      <c r="R81" s="29" t="s">
        <v>47</v>
      </c>
      <c r="S81" s="29">
        <v>1611.9760000000001</v>
      </c>
      <c r="T81" s="29">
        <v>522.03300000000002</v>
      </c>
      <c r="U81" s="29">
        <v>0</v>
      </c>
      <c r="V81" s="29" t="s">
        <v>47</v>
      </c>
      <c r="W81" s="29" t="s">
        <v>47</v>
      </c>
      <c r="X81" s="29" t="s">
        <v>47</v>
      </c>
      <c r="Y81" s="29" t="s">
        <v>47</v>
      </c>
      <c r="Z81" s="29" t="s">
        <v>47</v>
      </c>
      <c r="AA81" s="29" t="s">
        <v>47</v>
      </c>
      <c r="AB81" s="29">
        <v>3999.9999700000003</v>
      </c>
      <c r="AC81" s="29">
        <v>4127.93</v>
      </c>
      <c r="AD81" s="5"/>
      <c r="AE81" s="5"/>
      <c r="AF81" s="5"/>
    </row>
    <row r="82" spans="1:32" s="26" customFormat="1" ht="15.95" customHeight="1" x14ac:dyDescent="0.2">
      <c r="A82" s="31" t="s">
        <v>180</v>
      </c>
      <c r="B82" s="31" t="s">
        <v>181</v>
      </c>
      <c r="C82" s="32" t="s">
        <v>182</v>
      </c>
      <c r="D82" s="33">
        <v>33486.379999999997</v>
      </c>
      <c r="E82" s="33">
        <v>740.57</v>
      </c>
      <c r="F82" s="33">
        <v>0</v>
      </c>
      <c r="G82" s="33">
        <v>59.206000000000003</v>
      </c>
      <c r="H82" s="33">
        <v>1.9140000000000001</v>
      </c>
      <c r="I82" s="33">
        <v>0</v>
      </c>
      <c r="J82" s="33">
        <v>0</v>
      </c>
      <c r="K82" s="33">
        <v>0</v>
      </c>
      <c r="L82" s="33" t="s">
        <v>47</v>
      </c>
      <c r="M82" s="33" t="s">
        <v>47</v>
      </c>
      <c r="N82" s="33" t="s">
        <v>47</v>
      </c>
      <c r="O82" s="33" t="s">
        <v>47</v>
      </c>
      <c r="P82" s="33" t="s">
        <v>47</v>
      </c>
      <c r="Q82" s="33" t="s">
        <v>47</v>
      </c>
      <c r="R82" s="33" t="s">
        <v>47</v>
      </c>
      <c r="S82" s="33">
        <v>6807.3010000000004</v>
      </c>
      <c r="T82" s="33" t="s">
        <v>47</v>
      </c>
      <c r="U82" s="33" t="s">
        <v>47</v>
      </c>
      <c r="V82" s="33" t="s">
        <v>47</v>
      </c>
      <c r="W82" s="33" t="s">
        <v>47</v>
      </c>
      <c r="X82" s="33">
        <v>0</v>
      </c>
      <c r="Y82" s="33">
        <v>2819.7567300000001</v>
      </c>
      <c r="Z82" s="33">
        <v>2788.1886599999998</v>
      </c>
      <c r="AA82" s="33">
        <v>3027.0227599999998</v>
      </c>
      <c r="AB82" s="33">
        <v>2652.0841110000001</v>
      </c>
      <c r="AC82" s="33">
        <v>3411.8870000000002</v>
      </c>
      <c r="AD82" s="25"/>
      <c r="AE82" s="25"/>
      <c r="AF82" s="25"/>
    </row>
    <row r="83" spans="1:32" s="40" customFormat="1" ht="20.100000000000001" customHeight="1" x14ac:dyDescent="0.2">
      <c r="A83" s="36" t="s">
        <v>126</v>
      </c>
      <c r="B83" s="36" t="s">
        <v>127</v>
      </c>
      <c r="C83" s="37" t="s">
        <v>183</v>
      </c>
      <c r="D83" s="38">
        <v>13238.066000000001</v>
      </c>
      <c r="E83" s="38">
        <v>13569.85</v>
      </c>
      <c r="F83" s="38">
        <v>17845.722040000001</v>
      </c>
      <c r="G83" s="38">
        <v>11244.76684</v>
      </c>
      <c r="H83" s="38">
        <v>21313.977739999998</v>
      </c>
      <c r="I83" s="38">
        <v>21604.597689999999</v>
      </c>
      <c r="J83" s="38">
        <v>30606.172259999999</v>
      </c>
      <c r="K83" s="38">
        <v>28299.037260000001</v>
      </c>
      <c r="L83" s="38">
        <v>4145.4544599999999</v>
      </c>
      <c r="M83" s="38">
        <v>4574.7588900000001</v>
      </c>
      <c r="N83" s="38">
        <v>4547.78431</v>
      </c>
      <c r="O83" s="38">
        <v>4967.9452700000002</v>
      </c>
      <c r="P83" s="38">
        <v>5154.2219999999998</v>
      </c>
      <c r="Q83" s="38">
        <v>5233.8725899999999</v>
      </c>
      <c r="R83" s="38">
        <v>5301.9949999999999</v>
      </c>
      <c r="S83" s="38">
        <v>5197.5410000000002</v>
      </c>
      <c r="T83" s="38">
        <v>6341.7619999999997</v>
      </c>
      <c r="U83" s="38">
        <v>7362.7480000000014</v>
      </c>
      <c r="V83" s="38">
        <v>7734.5910000000003</v>
      </c>
      <c r="W83" s="38">
        <v>11936.12</v>
      </c>
      <c r="X83" s="38">
        <v>13613.916569999999</v>
      </c>
      <c r="Y83" s="38">
        <v>20037.539161227669</v>
      </c>
      <c r="Z83" s="38">
        <v>729008.94866315962</v>
      </c>
      <c r="AA83" s="38">
        <v>28560.333060000001</v>
      </c>
      <c r="AB83" s="38">
        <v>288068.72119000001</v>
      </c>
      <c r="AC83" s="38">
        <v>259347.23336592602</v>
      </c>
      <c r="AD83" s="39"/>
      <c r="AE83" s="39"/>
      <c r="AF83" s="39"/>
    </row>
    <row r="84" spans="1:32" s="46" customFormat="1" ht="24.95" customHeight="1" thickBot="1" x14ac:dyDescent="0.25">
      <c r="A84" s="41" t="s">
        <v>184</v>
      </c>
      <c r="B84" s="41" t="s">
        <v>185</v>
      </c>
      <c r="C84" s="42" t="s">
        <v>186</v>
      </c>
      <c r="D84" s="43">
        <v>3295500.727</v>
      </c>
      <c r="E84" s="43">
        <v>3443128.6749999998</v>
      </c>
      <c r="F84" s="43">
        <v>3519774.4610600001</v>
      </c>
      <c r="G84" s="43">
        <v>3664626.77605</v>
      </c>
      <c r="H84" s="43">
        <v>3920038.393660001</v>
      </c>
      <c r="I84" s="43">
        <v>4073959.2503599999</v>
      </c>
      <c r="J84" s="43">
        <v>4327686.0560799995</v>
      </c>
      <c r="K84" s="43">
        <v>4522043.5297600003</v>
      </c>
      <c r="L84" s="43">
        <v>5204101.9294211064</v>
      </c>
      <c r="M84" s="43">
        <v>5551179.3286812399</v>
      </c>
      <c r="N84" s="43">
        <v>5857141.8666507415</v>
      </c>
      <c r="O84" s="43">
        <v>6175800.9191399999</v>
      </c>
      <c r="P84" s="43">
        <v>6246251.4651899999</v>
      </c>
      <c r="Q84" s="43">
        <v>6496362.7397800004</v>
      </c>
      <c r="R84" s="43">
        <v>6775370.6100000003</v>
      </c>
      <c r="S84" s="43">
        <v>6064990.466</v>
      </c>
      <c r="T84" s="43">
        <v>6139008.7140506227</v>
      </c>
      <c r="U84" s="43">
        <v>6679802.9480000008</v>
      </c>
      <c r="V84" s="43">
        <v>6936231.2149999999</v>
      </c>
      <c r="W84" s="43">
        <v>7194559.6290000007</v>
      </c>
      <c r="X84" s="43">
        <v>10831756.277240001</v>
      </c>
      <c r="Y84" s="43">
        <v>9855311.198663421</v>
      </c>
      <c r="Z84" s="43">
        <v>9500092.4459131602</v>
      </c>
      <c r="AA84" s="43">
        <v>9331502.0074200016</v>
      </c>
      <c r="AB84" s="43">
        <v>10364347.803117545</v>
      </c>
      <c r="AC84" s="43">
        <v>10962656.680808512</v>
      </c>
      <c r="AD84" s="44"/>
      <c r="AE84" s="44"/>
      <c r="AF84" s="44"/>
    </row>
    <row r="85" spans="1:32" s="21" customFormat="1" ht="15" customHeight="1" thickBot="1" x14ac:dyDescent="0.25">
      <c r="A85" s="54"/>
      <c r="B85" s="54"/>
      <c r="C85" s="55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"/>
      <c r="AE85" s="5"/>
      <c r="AF85" s="5"/>
    </row>
    <row r="86" spans="1:32" s="46" customFormat="1" ht="24.95" customHeight="1" thickBot="1" x14ac:dyDescent="0.25">
      <c r="A86" s="57" t="s">
        <v>187</v>
      </c>
      <c r="B86" s="57" t="s">
        <v>188</v>
      </c>
      <c r="C86" s="58" t="s">
        <v>189</v>
      </c>
      <c r="D86" s="59">
        <v>109859.2650000001</v>
      </c>
      <c r="E86" s="59">
        <v>17779.25000000012</v>
      </c>
      <c r="F86" s="59">
        <v>80781.654030000558</v>
      </c>
      <c r="G86" s="59">
        <v>-9232.1747400003915</v>
      </c>
      <c r="H86" s="59">
        <v>7583.5066999998016</v>
      </c>
      <c r="I86" s="59">
        <v>123219.3284700003</v>
      </c>
      <c r="J86" s="59">
        <v>120486.62660000029</v>
      </c>
      <c r="K86" s="59">
        <v>286021.18424999941</v>
      </c>
      <c r="L86" s="59">
        <v>214140.9514738947</v>
      </c>
      <c r="M86" s="59">
        <v>49169.633101758962</v>
      </c>
      <c r="N86" s="59">
        <v>247287.9303065002</v>
      </c>
      <c r="O86" s="59">
        <v>114115.3861111663</v>
      </c>
      <c r="P86" s="59">
        <v>247094.3135310002</v>
      </c>
      <c r="Q86" s="59">
        <v>322560.53625947889</v>
      </c>
      <c r="R86" s="59">
        <v>197251.95265099971</v>
      </c>
      <c r="S86" s="59">
        <v>222020.82502983979</v>
      </c>
      <c r="T86" s="59">
        <v>327882.09358537762</v>
      </c>
      <c r="U86" s="59">
        <v>255472.8829723997</v>
      </c>
      <c r="V86" s="59">
        <v>266399.28462010249</v>
      </c>
      <c r="W86" s="59">
        <v>169613.7112517799</v>
      </c>
      <c r="X86" s="59">
        <v>-203361.82653910041</v>
      </c>
      <c r="Y86" s="59">
        <v>886228.61855357827</v>
      </c>
      <c r="Z86" s="59">
        <v>-884277.44669871521</v>
      </c>
      <c r="AA86" s="59">
        <v>425919.8992577754</v>
      </c>
      <c r="AB86" s="59">
        <v>-71358.477530619712</v>
      </c>
      <c r="AC86" s="59">
        <v>-476712.20506599545</v>
      </c>
      <c r="AD86" s="5"/>
      <c r="AE86" s="5"/>
      <c r="AF86" s="5"/>
    </row>
    <row r="87" spans="1:32" s="21" customFormat="1" ht="24.95" customHeight="1" thickBot="1" x14ac:dyDescent="0.25">
      <c r="A87" s="60"/>
      <c r="B87" s="61"/>
      <c r="C87" s="62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5"/>
      <c r="AE87" s="5"/>
      <c r="AF87" s="5"/>
    </row>
    <row r="88" spans="1:32" s="21" customFormat="1" ht="30" customHeight="1" x14ac:dyDescent="0.2">
      <c r="A88" s="18" t="s">
        <v>190</v>
      </c>
      <c r="B88" s="18" t="s">
        <v>191</v>
      </c>
      <c r="C88" s="19"/>
      <c r="D88" s="20" t="str">
        <f t="shared" ref="D88:AC88" si="22">D22</f>
        <v xml:space="preserve"> 2000 </v>
      </c>
      <c r="E88" s="20" t="str">
        <f t="shared" si="22"/>
        <v xml:space="preserve"> 2001 </v>
      </c>
      <c r="F88" s="20" t="str">
        <f t="shared" si="22"/>
        <v xml:space="preserve"> 2002 </v>
      </c>
      <c r="G88" s="20" t="str">
        <f t="shared" si="22"/>
        <v xml:space="preserve"> 2003 </v>
      </c>
      <c r="H88" s="20" t="str">
        <f t="shared" si="22"/>
        <v xml:space="preserve"> 2004 </v>
      </c>
      <c r="I88" s="20" t="str">
        <f t="shared" si="22"/>
        <v xml:space="preserve"> 2005 </v>
      </c>
      <c r="J88" s="20" t="str">
        <f t="shared" si="22"/>
        <v xml:space="preserve"> 2006 </v>
      </c>
      <c r="K88" s="20" t="str">
        <f t="shared" si="22"/>
        <v xml:space="preserve"> 2007 </v>
      </c>
      <c r="L88" s="20" t="str">
        <f t="shared" si="22"/>
        <v xml:space="preserve"> 2008 </v>
      </c>
      <c r="M88" s="20" t="str">
        <f t="shared" si="22"/>
        <v xml:space="preserve"> 2009 </v>
      </c>
      <c r="N88" s="20" t="str">
        <f t="shared" si="22"/>
        <v xml:space="preserve"> 2010 </v>
      </c>
      <c r="O88" s="20" t="str">
        <f t="shared" si="22"/>
        <v xml:space="preserve"> 2011 </v>
      </c>
      <c r="P88" s="20" t="str">
        <f t="shared" si="22"/>
        <v xml:space="preserve"> 2012 </v>
      </c>
      <c r="Q88" s="20" t="str">
        <f t="shared" si="22"/>
        <v xml:space="preserve"> 2013 </v>
      </c>
      <c r="R88" s="20" t="str">
        <f t="shared" si="22"/>
        <v xml:space="preserve"> 2014 </v>
      </c>
      <c r="S88" s="20" t="str">
        <f t="shared" si="22"/>
        <v xml:space="preserve"> 2015 </v>
      </c>
      <c r="T88" s="20" t="str">
        <f t="shared" si="22"/>
        <v xml:space="preserve"> 2016 </v>
      </c>
      <c r="U88" s="20" t="str">
        <f t="shared" si="22"/>
        <v xml:space="preserve"> 2017 </v>
      </c>
      <c r="V88" s="20" t="str">
        <f t="shared" si="22"/>
        <v xml:space="preserve"> 2018 </v>
      </c>
      <c r="W88" s="20" t="str">
        <f t="shared" si="22"/>
        <v xml:space="preserve"> 2019 </v>
      </c>
      <c r="X88" s="20" t="str">
        <f t="shared" si="22"/>
        <v xml:space="preserve"> 2020 </v>
      </c>
      <c r="Y88" s="20" t="str">
        <f t="shared" si="22"/>
        <v xml:space="preserve"> 2021 </v>
      </c>
      <c r="Z88" s="20" t="str">
        <f t="shared" si="22"/>
        <v xml:space="preserve"> 2022 </v>
      </c>
      <c r="AA88" s="20" t="str">
        <f t="shared" si="22"/>
        <v xml:space="preserve"> 2023 </v>
      </c>
      <c r="AB88" s="20" t="str">
        <f t="shared" si="22"/>
        <v xml:space="preserve"> 2024 </v>
      </c>
      <c r="AC88" s="20" t="str">
        <f t="shared" si="22"/>
        <v xml:space="preserve"> 2025 </v>
      </c>
      <c r="AD88" s="5"/>
      <c r="AE88" s="5"/>
      <c r="AF88" s="5"/>
    </row>
    <row r="89" spans="1:32" s="26" customFormat="1" ht="20.100000000000001" customHeight="1" x14ac:dyDescent="0.2">
      <c r="A89" s="64" t="s">
        <v>192</v>
      </c>
      <c r="B89" s="64" t="s">
        <v>193</v>
      </c>
      <c r="C89" s="65" t="s">
        <v>194</v>
      </c>
      <c r="D89" s="66" t="s">
        <v>47</v>
      </c>
      <c r="E89" s="66" t="s">
        <v>47</v>
      </c>
      <c r="F89" s="66">
        <v>0</v>
      </c>
      <c r="G89" s="66">
        <v>0</v>
      </c>
      <c r="H89" s="66">
        <v>0</v>
      </c>
      <c r="I89" s="66">
        <v>0</v>
      </c>
      <c r="J89" s="66">
        <v>3232</v>
      </c>
      <c r="K89" s="66">
        <v>1042</v>
      </c>
      <c r="L89" s="66">
        <v>180.44748999999999</v>
      </c>
      <c r="M89" s="66">
        <v>12</v>
      </c>
      <c r="N89" s="66" t="s">
        <v>47</v>
      </c>
      <c r="O89" s="66" t="s">
        <v>47</v>
      </c>
      <c r="P89" s="66" t="s">
        <v>47</v>
      </c>
      <c r="Q89" s="66" t="s">
        <v>47</v>
      </c>
      <c r="R89" s="66" t="s">
        <v>47</v>
      </c>
      <c r="S89" s="66" t="s">
        <v>47</v>
      </c>
      <c r="T89" s="66" t="s">
        <v>47</v>
      </c>
      <c r="U89" s="66" t="s">
        <v>47</v>
      </c>
      <c r="V89" s="66" t="s">
        <v>47</v>
      </c>
      <c r="W89" s="66" t="s">
        <v>47</v>
      </c>
      <c r="X89" s="66" t="s">
        <v>47</v>
      </c>
      <c r="Y89" s="66" t="s">
        <v>47</v>
      </c>
      <c r="Z89" s="66" t="s">
        <v>47</v>
      </c>
      <c r="AA89" s="66" t="s">
        <v>47</v>
      </c>
      <c r="AB89" s="66" t="s">
        <v>47</v>
      </c>
      <c r="AC89" s="66" t="s">
        <v>47</v>
      </c>
      <c r="AD89" s="25"/>
      <c r="AE89" s="25"/>
      <c r="AF89" s="25"/>
    </row>
    <row r="90" spans="1:32" s="40" customFormat="1" ht="20.100000000000001" customHeight="1" thickBot="1" x14ac:dyDescent="0.25">
      <c r="A90" s="67" t="s">
        <v>195</v>
      </c>
      <c r="B90" s="67" t="s">
        <v>196</v>
      </c>
      <c r="C90" s="68" t="s">
        <v>197</v>
      </c>
      <c r="D90" s="69" t="s">
        <v>47</v>
      </c>
      <c r="E90" s="69" t="s">
        <v>47</v>
      </c>
      <c r="F90" s="69">
        <v>0</v>
      </c>
      <c r="G90" s="69">
        <v>-5.85039</v>
      </c>
      <c r="H90" s="69">
        <v>0</v>
      </c>
      <c r="I90" s="69">
        <v>0</v>
      </c>
      <c r="J90" s="69">
        <v>3232</v>
      </c>
      <c r="K90" s="69">
        <v>21442</v>
      </c>
      <c r="L90" s="69">
        <v>4298.8492900000001</v>
      </c>
      <c r="M90" s="69">
        <v>12</v>
      </c>
      <c r="N90" s="69" t="s">
        <v>47</v>
      </c>
      <c r="O90" s="69" t="s">
        <v>47</v>
      </c>
      <c r="P90" s="69" t="s">
        <v>47</v>
      </c>
      <c r="Q90" s="69" t="s">
        <v>47</v>
      </c>
      <c r="R90" s="69" t="s">
        <v>47</v>
      </c>
      <c r="S90" s="69" t="s">
        <v>47</v>
      </c>
      <c r="T90" s="69" t="s">
        <v>47</v>
      </c>
      <c r="U90" s="69" t="s">
        <v>47</v>
      </c>
      <c r="V90" s="69" t="s">
        <v>47</v>
      </c>
      <c r="W90" s="69" t="s">
        <v>47</v>
      </c>
      <c r="X90" s="69" t="s">
        <v>47</v>
      </c>
      <c r="Y90" s="69" t="s">
        <v>47</v>
      </c>
      <c r="Z90" s="69" t="s">
        <v>47</v>
      </c>
      <c r="AA90" s="69" t="s">
        <v>47</v>
      </c>
      <c r="AB90" s="69" t="s">
        <v>47</v>
      </c>
      <c r="AC90" s="69" t="s">
        <v>47</v>
      </c>
      <c r="AD90" s="39"/>
      <c r="AE90" s="39"/>
      <c r="AF90" s="39"/>
    </row>
    <row r="91" spans="1:32" s="40" customFormat="1" ht="24.95" customHeight="1" thickBot="1" x14ac:dyDescent="0.25">
      <c r="A91" s="70" t="s">
        <v>198</v>
      </c>
      <c r="B91" s="70" t="s">
        <v>199</v>
      </c>
      <c r="C91" s="71" t="s">
        <v>200</v>
      </c>
      <c r="D91" s="72" t="s">
        <v>47</v>
      </c>
      <c r="E91" s="72" t="s">
        <v>47</v>
      </c>
      <c r="F91" s="72"/>
      <c r="G91" s="72">
        <v>5.85039</v>
      </c>
      <c r="H91" s="72"/>
      <c r="I91" s="72"/>
      <c r="J91" s="72">
        <v>0</v>
      </c>
      <c r="K91" s="72">
        <v>-20400</v>
      </c>
      <c r="L91" s="72">
        <v>-4118.4018000000005</v>
      </c>
      <c r="M91" s="72">
        <v>0</v>
      </c>
      <c r="N91" s="72" t="s">
        <v>47</v>
      </c>
      <c r="O91" s="72" t="s">
        <v>47</v>
      </c>
      <c r="P91" s="72" t="s">
        <v>47</v>
      </c>
      <c r="Q91" s="72" t="s">
        <v>47</v>
      </c>
      <c r="R91" s="72" t="s">
        <v>47</v>
      </c>
      <c r="S91" s="72" t="s">
        <v>47</v>
      </c>
      <c r="T91" s="72" t="s">
        <v>47</v>
      </c>
      <c r="U91" s="72" t="s">
        <v>47</v>
      </c>
      <c r="V91" s="72" t="s">
        <v>47</v>
      </c>
      <c r="W91" s="72" t="s">
        <v>47</v>
      </c>
      <c r="X91" s="72" t="s">
        <v>47</v>
      </c>
      <c r="Y91" s="72" t="s">
        <v>47</v>
      </c>
      <c r="Z91" s="72" t="s">
        <v>47</v>
      </c>
      <c r="AA91" s="72" t="s">
        <v>47</v>
      </c>
      <c r="AB91" s="72" t="s">
        <v>47</v>
      </c>
      <c r="AC91" s="72" t="s">
        <v>47</v>
      </c>
      <c r="AD91" s="5"/>
      <c r="AE91" s="5"/>
      <c r="AF91" s="5"/>
    </row>
    <row r="92" spans="1:32" ht="20.100000000000001" customHeight="1" thickBot="1" x14ac:dyDescent="0.25">
      <c r="A92" s="73"/>
      <c r="B92" s="73"/>
    </row>
    <row r="93" spans="1:32" s="40" customFormat="1" ht="24.95" customHeight="1" thickBot="1" x14ac:dyDescent="0.25">
      <c r="A93" s="75" t="s">
        <v>201</v>
      </c>
      <c r="B93" s="75" t="s">
        <v>202</v>
      </c>
      <c r="C93" s="71" t="s">
        <v>203</v>
      </c>
      <c r="D93" s="72">
        <v>109859.2650000001</v>
      </c>
      <c r="E93" s="72">
        <v>17779.25000000012</v>
      </c>
      <c r="F93" s="72">
        <v>80781.654030000558</v>
      </c>
      <c r="G93" s="72">
        <v>-9226.3243500003919</v>
      </c>
      <c r="H93" s="72">
        <v>7583.5066999998016</v>
      </c>
      <c r="I93" s="72">
        <v>123219.3284700003</v>
      </c>
      <c r="J93" s="72">
        <v>120486.62660000029</v>
      </c>
      <c r="K93" s="72">
        <v>265621.18424999941</v>
      </c>
      <c r="L93" s="72">
        <v>210022.54967389471</v>
      </c>
      <c r="M93" s="72">
        <v>49169.633101758962</v>
      </c>
      <c r="N93" s="72">
        <v>247287.9303065002</v>
      </c>
      <c r="O93" s="72">
        <v>114115.3861111663</v>
      </c>
      <c r="P93" s="72">
        <v>247094.3135310002</v>
      </c>
      <c r="Q93" s="72">
        <v>322560.53625947889</v>
      </c>
      <c r="R93" s="72">
        <v>197251.95265099971</v>
      </c>
      <c r="S93" s="72">
        <v>222020.82502983979</v>
      </c>
      <c r="T93" s="72">
        <v>327882.09358537762</v>
      </c>
      <c r="U93" s="72">
        <v>255472.8829723997</v>
      </c>
      <c r="V93" s="72">
        <v>266399.28462010249</v>
      </c>
      <c r="W93" s="72">
        <v>169613.7112517799</v>
      </c>
      <c r="X93" s="72">
        <v>-203361.82653910041</v>
      </c>
      <c r="Y93" s="72">
        <v>886228.61855357827</v>
      </c>
      <c r="Z93" s="72">
        <v>-884277.44669871521</v>
      </c>
      <c r="AA93" s="72">
        <v>425919.8992577754</v>
      </c>
      <c r="AB93" s="72">
        <v>-71358.477530619712</v>
      </c>
      <c r="AC93" s="72">
        <v>-476712.20506599545</v>
      </c>
      <c r="AD93" s="5"/>
      <c r="AE93" s="5"/>
      <c r="AF93" s="5"/>
    </row>
    <row r="94" spans="1:32" s="5" customFormat="1" ht="20.100000000000001" customHeight="1" x14ac:dyDescent="0.2">
      <c r="C94" s="17"/>
    </row>
    <row r="95" spans="1:32" s="5" customFormat="1" ht="20.100000000000001" customHeight="1" x14ac:dyDescent="0.2">
      <c r="C95" s="17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</row>
    <row r="96" spans="1:32" s="5" customFormat="1" ht="20.100000000000001" customHeight="1" x14ac:dyDescent="0.2">
      <c r="C96" s="17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</row>
    <row r="97" spans="3:39" s="5" customFormat="1" ht="20.100000000000001" customHeight="1" x14ac:dyDescent="0.2">
      <c r="C97" s="17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</row>
    <row r="98" spans="3:39" s="5" customFormat="1" ht="30" customHeight="1" x14ac:dyDescent="0.2">
      <c r="C98" s="17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</row>
    <row r="99" spans="3:39" s="5" customFormat="1" x14ac:dyDescent="0.2">
      <c r="C99" s="17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</row>
    <row r="100" spans="3:39" s="5" customFormat="1" x14ac:dyDescent="0.2">
      <c r="C100" s="17"/>
    </row>
    <row r="101" spans="3:39" s="5" customFormat="1" x14ac:dyDescent="0.2">
      <c r="C101" s="17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</row>
    <row r="102" spans="3:39" s="5" customFormat="1" x14ac:dyDescent="0.2">
      <c r="C102" s="17"/>
    </row>
    <row r="103" spans="3:39" s="5" customFormat="1" x14ac:dyDescent="0.2">
      <c r="C103" s="17"/>
    </row>
    <row r="104" spans="3:39" s="5" customFormat="1" x14ac:dyDescent="0.2">
      <c r="C104" s="17"/>
    </row>
    <row r="105" spans="3:39" s="5" customFormat="1" x14ac:dyDescent="0.2">
      <c r="C105" s="17"/>
    </row>
    <row r="106" spans="3:39" s="5" customFormat="1" x14ac:dyDescent="0.2">
      <c r="C106" s="17"/>
    </row>
    <row r="107" spans="3:39" s="5" customFormat="1" x14ac:dyDescent="0.2">
      <c r="C107" s="17"/>
    </row>
    <row r="108" spans="3:39" s="5" customFormat="1" x14ac:dyDescent="0.2">
      <c r="C108" s="17"/>
    </row>
    <row r="109" spans="3:39" s="5" customFormat="1" x14ac:dyDescent="0.2">
      <c r="C109" s="17"/>
    </row>
    <row r="110" spans="3:39" s="5" customFormat="1" x14ac:dyDescent="0.2">
      <c r="C110" s="17"/>
    </row>
    <row r="111" spans="3:39" s="5" customFormat="1" x14ac:dyDescent="0.2">
      <c r="C111" s="17"/>
    </row>
    <row r="112" spans="3:39" s="5" customFormat="1" x14ac:dyDescent="0.2">
      <c r="C112" s="17"/>
    </row>
    <row r="113" spans="3:3" s="5" customFormat="1" x14ac:dyDescent="0.2">
      <c r="C113" s="17"/>
    </row>
    <row r="114" spans="3:3" s="5" customFormat="1" x14ac:dyDescent="0.2">
      <c r="C114" s="17"/>
    </row>
    <row r="115" spans="3:3" s="5" customFormat="1" x14ac:dyDescent="0.2">
      <c r="C115" s="17"/>
    </row>
    <row r="116" spans="3:3" s="5" customFormat="1" x14ac:dyDescent="0.2">
      <c r="C116" s="17"/>
    </row>
    <row r="117" spans="3:3" s="5" customFormat="1" x14ac:dyDescent="0.2">
      <c r="C117" s="17"/>
    </row>
    <row r="118" spans="3:3" s="5" customFormat="1" x14ac:dyDescent="0.2">
      <c r="C118" s="17"/>
    </row>
    <row r="119" spans="3:3" s="5" customFormat="1" x14ac:dyDescent="0.2">
      <c r="C119" s="17"/>
    </row>
    <row r="120" spans="3:3" s="5" customFormat="1" x14ac:dyDescent="0.2">
      <c r="C120" s="17"/>
    </row>
    <row r="121" spans="3:3" s="5" customFormat="1" x14ac:dyDescent="0.2">
      <c r="C121" s="17"/>
    </row>
    <row r="122" spans="3:3" s="5" customFormat="1" x14ac:dyDescent="0.2">
      <c r="C122" s="17"/>
    </row>
    <row r="123" spans="3:3" s="5" customFormat="1" x14ac:dyDescent="0.2">
      <c r="C123" s="17"/>
    </row>
    <row r="124" spans="3:3" s="5" customFormat="1" x14ac:dyDescent="0.2">
      <c r="C124" s="17"/>
    </row>
    <row r="125" spans="3:3" s="5" customFormat="1" x14ac:dyDescent="0.2">
      <c r="C125" s="17"/>
    </row>
    <row r="126" spans="3:3" s="5" customFormat="1" x14ac:dyDescent="0.2">
      <c r="C126" s="17"/>
    </row>
    <row r="127" spans="3:3" s="5" customFormat="1" x14ac:dyDescent="0.2">
      <c r="C127" s="17"/>
    </row>
    <row r="128" spans="3:3" s="5" customFormat="1" x14ac:dyDescent="0.2">
      <c r="C128" s="17"/>
    </row>
    <row r="129" spans="3:3" s="5" customFormat="1" x14ac:dyDescent="0.2">
      <c r="C129" s="17"/>
    </row>
    <row r="130" spans="3:3" s="5" customFormat="1" x14ac:dyDescent="0.2">
      <c r="C130" s="17"/>
    </row>
    <row r="131" spans="3:3" s="5" customFormat="1" x14ac:dyDescent="0.2">
      <c r="C131" s="17"/>
    </row>
    <row r="132" spans="3:3" s="5" customFormat="1" x14ac:dyDescent="0.2">
      <c r="C132" s="17"/>
    </row>
    <row r="133" spans="3:3" s="5" customFormat="1" x14ac:dyDescent="0.2">
      <c r="C133" s="17"/>
    </row>
    <row r="134" spans="3:3" s="5" customFormat="1" x14ac:dyDescent="0.2">
      <c r="C134" s="17"/>
    </row>
    <row r="135" spans="3:3" s="5" customFormat="1" x14ac:dyDescent="0.2">
      <c r="C135" s="17"/>
    </row>
    <row r="136" spans="3:3" s="5" customFormat="1" x14ac:dyDescent="0.2">
      <c r="C136" s="17"/>
    </row>
    <row r="137" spans="3:3" s="5" customFormat="1" x14ac:dyDescent="0.2">
      <c r="C137" s="17"/>
    </row>
    <row r="138" spans="3:3" s="5" customFormat="1" x14ac:dyDescent="0.2">
      <c r="C138" s="17"/>
    </row>
    <row r="139" spans="3:3" s="5" customFormat="1" x14ac:dyDescent="0.2">
      <c r="C139" s="17"/>
    </row>
    <row r="140" spans="3:3" s="5" customFormat="1" x14ac:dyDescent="0.2">
      <c r="C140" s="17"/>
    </row>
    <row r="141" spans="3:3" s="5" customFormat="1" x14ac:dyDescent="0.2">
      <c r="C141" s="17"/>
    </row>
    <row r="142" spans="3:3" s="5" customFormat="1" x14ac:dyDescent="0.2">
      <c r="C142" s="17"/>
    </row>
    <row r="143" spans="3:3" s="5" customFormat="1" x14ac:dyDescent="0.2">
      <c r="C143" s="17"/>
    </row>
    <row r="144" spans="3:3" s="5" customFormat="1" x14ac:dyDescent="0.2">
      <c r="C144" s="17"/>
    </row>
    <row r="145" spans="3:3" s="5" customFormat="1" x14ac:dyDescent="0.2">
      <c r="C145" s="17"/>
    </row>
    <row r="146" spans="3:3" s="5" customFormat="1" x14ac:dyDescent="0.2">
      <c r="C146" s="17"/>
    </row>
    <row r="147" spans="3:3" s="5" customFormat="1" x14ac:dyDescent="0.2">
      <c r="C147" s="17"/>
    </row>
    <row r="148" spans="3:3" s="5" customFormat="1" x14ac:dyDescent="0.2">
      <c r="C148" s="17"/>
    </row>
    <row r="149" spans="3:3" s="5" customFormat="1" x14ac:dyDescent="0.2">
      <c r="C149" s="17"/>
    </row>
    <row r="150" spans="3:3" s="5" customFormat="1" x14ac:dyDescent="0.2">
      <c r="C150" s="17"/>
    </row>
    <row r="151" spans="3:3" s="5" customFormat="1" x14ac:dyDescent="0.2">
      <c r="C151" s="17"/>
    </row>
    <row r="152" spans="3:3" s="5" customFormat="1" x14ac:dyDescent="0.2">
      <c r="C152" s="17"/>
    </row>
    <row r="153" spans="3:3" s="5" customFormat="1" x14ac:dyDescent="0.2">
      <c r="C153" s="17"/>
    </row>
    <row r="154" spans="3:3" s="5" customFormat="1" x14ac:dyDescent="0.2">
      <c r="C154" s="17"/>
    </row>
    <row r="155" spans="3:3" s="5" customFormat="1" x14ac:dyDescent="0.2">
      <c r="C155" s="17"/>
    </row>
    <row r="156" spans="3:3" s="5" customFormat="1" x14ac:dyDescent="0.2">
      <c r="C156" s="17"/>
    </row>
    <row r="157" spans="3:3" s="5" customFormat="1" x14ac:dyDescent="0.2">
      <c r="C157" s="17"/>
    </row>
    <row r="158" spans="3:3" s="5" customFormat="1" x14ac:dyDescent="0.2">
      <c r="C158" s="17"/>
    </row>
    <row r="159" spans="3:3" s="5" customFormat="1" x14ac:dyDescent="0.2">
      <c r="C159" s="17"/>
    </row>
    <row r="160" spans="3:3" s="5" customFormat="1" x14ac:dyDescent="0.2">
      <c r="C160" s="17"/>
    </row>
    <row r="161" spans="3:3" s="5" customFormat="1" x14ac:dyDescent="0.2">
      <c r="C161" s="17"/>
    </row>
    <row r="162" spans="3:3" s="5" customFormat="1" x14ac:dyDescent="0.2">
      <c r="C162" s="17"/>
    </row>
    <row r="163" spans="3:3" s="5" customFormat="1" x14ac:dyDescent="0.2">
      <c r="C163" s="17"/>
    </row>
    <row r="164" spans="3:3" s="5" customFormat="1" x14ac:dyDescent="0.2">
      <c r="C164" s="17"/>
    </row>
    <row r="165" spans="3:3" s="5" customFormat="1" x14ac:dyDescent="0.2">
      <c r="C165" s="17"/>
    </row>
    <row r="166" spans="3:3" s="5" customFormat="1" x14ac:dyDescent="0.2">
      <c r="C166" s="17"/>
    </row>
    <row r="167" spans="3:3" s="5" customFormat="1" x14ac:dyDescent="0.2">
      <c r="C167" s="17"/>
    </row>
    <row r="168" spans="3:3" s="5" customFormat="1" x14ac:dyDescent="0.2">
      <c r="C168" s="17"/>
    </row>
    <row r="169" spans="3:3" s="5" customFormat="1" x14ac:dyDescent="0.2">
      <c r="C169" s="17"/>
    </row>
    <row r="170" spans="3:3" s="5" customFormat="1" x14ac:dyDescent="0.2">
      <c r="C170" s="17"/>
    </row>
    <row r="171" spans="3:3" s="5" customFormat="1" x14ac:dyDescent="0.2">
      <c r="C171" s="17"/>
    </row>
    <row r="172" spans="3:3" s="5" customFormat="1" x14ac:dyDescent="0.2">
      <c r="C172" s="17"/>
    </row>
    <row r="173" spans="3:3" s="5" customFormat="1" x14ac:dyDescent="0.2">
      <c r="C173" s="17"/>
    </row>
    <row r="174" spans="3:3" s="5" customFormat="1" x14ac:dyDescent="0.2">
      <c r="C174" s="17"/>
    </row>
    <row r="175" spans="3:3" s="5" customFormat="1" x14ac:dyDescent="0.2">
      <c r="C175" s="17"/>
    </row>
    <row r="176" spans="3:3" s="5" customFormat="1" x14ac:dyDescent="0.2">
      <c r="C176" s="17"/>
    </row>
    <row r="177" spans="3:3" s="5" customFormat="1" x14ac:dyDescent="0.2">
      <c r="C177" s="17"/>
    </row>
    <row r="178" spans="3:3" s="5" customFormat="1" x14ac:dyDescent="0.2">
      <c r="C178" s="17"/>
    </row>
    <row r="179" spans="3:3" s="5" customFormat="1" x14ac:dyDescent="0.2">
      <c r="C179" s="17"/>
    </row>
    <row r="180" spans="3:3" s="5" customFormat="1" x14ac:dyDescent="0.2">
      <c r="C180" s="17"/>
    </row>
    <row r="181" spans="3:3" s="5" customFormat="1" x14ac:dyDescent="0.2">
      <c r="C181" s="17"/>
    </row>
    <row r="182" spans="3:3" s="5" customFormat="1" x14ac:dyDescent="0.2">
      <c r="C182" s="17"/>
    </row>
    <row r="183" spans="3:3" s="5" customFormat="1" x14ac:dyDescent="0.2">
      <c r="C183" s="17"/>
    </row>
    <row r="184" spans="3:3" s="5" customFormat="1" x14ac:dyDescent="0.2">
      <c r="C184" s="17"/>
    </row>
    <row r="185" spans="3:3" s="5" customFormat="1" x14ac:dyDescent="0.2">
      <c r="C185" s="17"/>
    </row>
    <row r="186" spans="3:3" s="5" customFormat="1" x14ac:dyDescent="0.2">
      <c r="C186" s="17"/>
    </row>
    <row r="187" spans="3:3" s="5" customFormat="1" x14ac:dyDescent="0.2">
      <c r="C187" s="17"/>
    </row>
    <row r="188" spans="3:3" s="5" customFormat="1" x14ac:dyDescent="0.2">
      <c r="C188" s="17"/>
    </row>
    <row r="189" spans="3:3" s="5" customFormat="1" x14ac:dyDescent="0.2">
      <c r="C189" s="17"/>
    </row>
    <row r="190" spans="3:3" s="5" customFormat="1" x14ac:dyDescent="0.2">
      <c r="C190" s="17"/>
    </row>
    <row r="191" spans="3:3" s="5" customFormat="1" x14ac:dyDescent="0.2">
      <c r="C191" s="17"/>
    </row>
    <row r="192" spans="3:3" s="5" customFormat="1" x14ac:dyDescent="0.2">
      <c r="C192" s="17"/>
    </row>
    <row r="193" spans="3:3" s="5" customFormat="1" x14ac:dyDescent="0.2">
      <c r="C193" s="17"/>
    </row>
    <row r="194" spans="3:3" s="5" customFormat="1" x14ac:dyDescent="0.2">
      <c r="C194" s="17"/>
    </row>
    <row r="195" spans="3:3" s="5" customFormat="1" x14ac:dyDescent="0.2">
      <c r="C195" s="17"/>
    </row>
    <row r="196" spans="3:3" s="5" customFormat="1" x14ac:dyDescent="0.2">
      <c r="C196" s="17"/>
    </row>
    <row r="197" spans="3:3" s="5" customFormat="1" x14ac:dyDescent="0.2">
      <c r="C197" s="17"/>
    </row>
    <row r="198" spans="3:3" s="5" customFormat="1" x14ac:dyDescent="0.2">
      <c r="C198" s="17"/>
    </row>
    <row r="199" spans="3:3" s="5" customFormat="1" x14ac:dyDescent="0.2">
      <c r="C199" s="17"/>
    </row>
    <row r="200" spans="3:3" s="5" customFormat="1" x14ac:dyDescent="0.2">
      <c r="C200" s="17"/>
    </row>
    <row r="201" spans="3:3" s="5" customFormat="1" x14ac:dyDescent="0.2">
      <c r="C201" s="17"/>
    </row>
    <row r="202" spans="3:3" s="5" customFormat="1" x14ac:dyDescent="0.2">
      <c r="C202" s="17"/>
    </row>
    <row r="203" spans="3:3" s="5" customFormat="1" x14ac:dyDescent="0.2">
      <c r="C203" s="17"/>
    </row>
    <row r="204" spans="3:3" s="5" customFormat="1" x14ac:dyDescent="0.2">
      <c r="C204" s="17"/>
    </row>
    <row r="205" spans="3:3" s="5" customFormat="1" x14ac:dyDescent="0.2">
      <c r="C205" s="17"/>
    </row>
    <row r="206" spans="3:3" s="5" customFormat="1" x14ac:dyDescent="0.2">
      <c r="C206" s="17"/>
    </row>
    <row r="207" spans="3:3" s="5" customFormat="1" x14ac:dyDescent="0.2">
      <c r="C207" s="17"/>
    </row>
    <row r="208" spans="3:3" s="5" customFormat="1" x14ac:dyDescent="0.2">
      <c r="C208" s="17"/>
    </row>
    <row r="209" spans="3:3" s="5" customFormat="1" x14ac:dyDescent="0.2">
      <c r="C209" s="17"/>
    </row>
    <row r="210" spans="3:3" s="5" customFormat="1" x14ac:dyDescent="0.2">
      <c r="C210" s="17"/>
    </row>
    <row r="211" spans="3:3" s="5" customFormat="1" x14ac:dyDescent="0.2">
      <c r="C211" s="17"/>
    </row>
    <row r="212" spans="3:3" s="5" customFormat="1" x14ac:dyDescent="0.2">
      <c r="C212" s="17"/>
    </row>
    <row r="213" spans="3:3" s="5" customFormat="1" x14ac:dyDescent="0.2">
      <c r="C213" s="17"/>
    </row>
    <row r="214" spans="3:3" s="5" customFormat="1" x14ac:dyDescent="0.2">
      <c r="C214" s="17"/>
    </row>
    <row r="215" spans="3:3" s="5" customFormat="1" x14ac:dyDescent="0.2">
      <c r="C215" s="17"/>
    </row>
    <row r="216" spans="3:3" s="5" customFormat="1" x14ac:dyDescent="0.2">
      <c r="C216" s="17"/>
    </row>
    <row r="217" spans="3:3" s="5" customFormat="1" x14ac:dyDescent="0.2">
      <c r="C217" s="17"/>
    </row>
    <row r="218" spans="3:3" s="5" customFormat="1" x14ac:dyDescent="0.2">
      <c r="C218" s="17"/>
    </row>
    <row r="219" spans="3:3" s="5" customFormat="1" x14ac:dyDescent="0.2">
      <c r="C219" s="17"/>
    </row>
    <row r="220" spans="3:3" s="5" customFormat="1" x14ac:dyDescent="0.2">
      <c r="C220" s="17"/>
    </row>
    <row r="221" spans="3:3" s="5" customFormat="1" x14ac:dyDescent="0.2">
      <c r="C221" s="17"/>
    </row>
    <row r="222" spans="3:3" s="5" customFormat="1" x14ac:dyDescent="0.2">
      <c r="C222" s="17"/>
    </row>
    <row r="223" spans="3:3" s="5" customFormat="1" x14ac:dyDescent="0.2">
      <c r="C223" s="17"/>
    </row>
    <row r="224" spans="3:3" s="5" customFormat="1" x14ac:dyDescent="0.2">
      <c r="C224" s="17"/>
    </row>
    <row r="225" spans="3:3" s="5" customFormat="1" x14ac:dyDescent="0.2">
      <c r="C225" s="17"/>
    </row>
    <row r="226" spans="3:3" s="5" customFormat="1" x14ac:dyDescent="0.2">
      <c r="C226" s="17"/>
    </row>
    <row r="227" spans="3:3" s="5" customFormat="1" x14ac:dyDescent="0.2">
      <c r="C227" s="17"/>
    </row>
    <row r="228" spans="3:3" s="5" customFormat="1" x14ac:dyDescent="0.2">
      <c r="C228" s="17"/>
    </row>
    <row r="229" spans="3:3" s="5" customFormat="1" x14ac:dyDescent="0.2">
      <c r="C229" s="17"/>
    </row>
    <row r="230" spans="3:3" s="5" customFormat="1" x14ac:dyDescent="0.2">
      <c r="C230" s="17"/>
    </row>
    <row r="231" spans="3:3" s="5" customFormat="1" x14ac:dyDescent="0.2">
      <c r="C231" s="17"/>
    </row>
    <row r="232" spans="3:3" s="5" customFormat="1" x14ac:dyDescent="0.2">
      <c r="C232" s="17"/>
    </row>
    <row r="233" spans="3:3" s="5" customFormat="1" x14ac:dyDescent="0.2">
      <c r="C233" s="17"/>
    </row>
    <row r="234" spans="3:3" s="5" customFormat="1" x14ac:dyDescent="0.2">
      <c r="C234" s="17"/>
    </row>
    <row r="235" spans="3:3" s="5" customFormat="1" x14ac:dyDescent="0.2">
      <c r="C235" s="17"/>
    </row>
    <row r="236" spans="3:3" s="5" customFormat="1" x14ac:dyDescent="0.2">
      <c r="C236" s="17"/>
    </row>
    <row r="237" spans="3:3" s="5" customFormat="1" x14ac:dyDescent="0.2">
      <c r="C237" s="17"/>
    </row>
    <row r="238" spans="3:3" s="5" customFormat="1" x14ac:dyDescent="0.2">
      <c r="C238" s="17"/>
    </row>
    <row r="239" spans="3:3" s="5" customFormat="1" x14ac:dyDescent="0.2">
      <c r="C239" s="17"/>
    </row>
    <row r="240" spans="3:3" s="5" customFormat="1" x14ac:dyDescent="0.2">
      <c r="C240" s="17"/>
    </row>
    <row r="241" spans="3:3" s="5" customFormat="1" x14ac:dyDescent="0.2">
      <c r="C241" s="17"/>
    </row>
    <row r="242" spans="3:3" s="5" customFormat="1" x14ac:dyDescent="0.2">
      <c r="C242" s="17"/>
    </row>
    <row r="243" spans="3:3" s="5" customFormat="1" x14ac:dyDescent="0.2">
      <c r="C243" s="17"/>
    </row>
    <row r="244" spans="3:3" s="5" customFormat="1" x14ac:dyDescent="0.2">
      <c r="C244" s="17"/>
    </row>
    <row r="245" spans="3:3" s="5" customFormat="1" x14ac:dyDescent="0.2">
      <c r="C245" s="17"/>
    </row>
    <row r="246" spans="3:3" s="5" customFormat="1" x14ac:dyDescent="0.2">
      <c r="C246" s="17"/>
    </row>
    <row r="247" spans="3:3" s="5" customFormat="1" x14ac:dyDescent="0.2">
      <c r="C247" s="17"/>
    </row>
    <row r="248" spans="3:3" s="5" customFormat="1" x14ac:dyDescent="0.2">
      <c r="C248" s="17"/>
    </row>
    <row r="249" spans="3:3" s="5" customFormat="1" x14ac:dyDescent="0.2">
      <c r="C249" s="17"/>
    </row>
    <row r="250" spans="3:3" s="5" customFormat="1" x14ac:dyDescent="0.2">
      <c r="C250" s="17"/>
    </row>
    <row r="251" spans="3:3" s="5" customFormat="1" x14ac:dyDescent="0.2">
      <c r="C251" s="17"/>
    </row>
    <row r="252" spans="3:3" s="5" customFormat="1" x14ac:dyDescent="0.2">
      <c r="C252" s="17"/>
    </row>
    <row r="253" spans="3:3" s="5" customFormat="1" x14ac:dyDescent="0.2">
      <c r="C253" s="17"/>
    </row>
    <row r="254" spans="3:3" s="5" customFormat="1" x14ac:dyDescent="0.2">
      <c r="C254" s="17"/>
    </row>
    <row r="255" spans="3:3" s="5" customFormat="1" x14ac:dyDescent="0.2">
      <c r="C255" s="17"/>
    </row>
    <row r="256" spans="3:3" s="5" customFormat="1" x14ac:dyDescent="0.2">
      <c r="C256" s="17"/>
    </row>
    <row r="257" spans="3:3" s="5" customFormat="1" x14ac:dyDescent="0.2">
      <c r="C257" s="17"/>
    </row>
    <row r="258" spans="3:3" s="5" customFormat="1" x14ac:dyDescent="0.2">
      <c r="C258" s="17"/>
    </row>
    <row r="259" spans="3:3" s="5" customFormat="1" x14ac:dyDescent="0.2">
      <c r="C259" s="17"/>
    </row>
    <row r="260" spans="3:3" s="5" customFormat="1" x14ac:dyDescent="0.2">
      <c r="C260" s="17"/>
    </row>
    <row r="261" spans="3:3" s="5" customFormat="1" x14ac:dyDescent="0.2">
      <c r="C261" s="17"/>
    </row>
    <row r="262" spans="3:3" s="5" customFormat="1" x14ac:dyDescent="0.2">
      <c r="C262" s="17"/>
    </row>
    <row r="263" spans="3:3" s="5" customFormat="1" x14ac:dyDescent="0.2">
      <c r="C263" s="17"/>
    </row>
    <row r="264" spans="3:3" s="5" customFormat="1" x14ac:dyDescent="0.2">
      <c r="C264" s="17"/>
    </row>
    <row r="265" spans="3:3" s="5" customFormat="1" x14ac:dyDescent="0.2">
      <c r="C265" s="17"/>
    </row>
    <row r="266" spans="3:3" s="5" customFormat="1" x14ac:dyDescent="0.2">
      <c r="C266" s="17"/>
    </row>
    <row r="267" spans="3:3" s="5" customFormat="1" x14ac:dyDescent="0.2">
      <c r="C267" s="17"/>
    </row>
    <row r="268" spans="3:3" s="5" customFormat="1" x14ac:dyDescent="0.2">
      <c r="C268" s="17"/>
    </row>
    <row r="269" spans="3:3" s="5" customFormat="1" x14ac:dyDescent="0.2">
      <c r="C269" s="17"/>
    </row>
    <row r="270" spans="3:3" s="5" customFormat="1" x14ac:dyDescent="0.2">
      <c r="C270" s="17"/>
    </row>
    <row r="271" spans="3:3" s="5" customFormat="1" x14ac:dyDescent="0.2">
      <c r="C271" s="17"/>
    </row>
    <row r="272" spans="3:3" s="5" customFormat="1" x14ac:dyDescent="0.2">
      <c r="C272" s="17"/>
    </row>
    <row r="273" spans="3:3" s="5" customFormat="1" x14ac:dyDescent="0.2">
      <c r="C273" s="17"/>
    </row>
    <row r="274" spans="3:3" s="5" customFormat="1" x14ac:dyDescent="0.2">
      <c r="C274" s="17"/>
    </row>
    <row r="275" spans="3:3" s="5" customFormat="1" x14ac:dyDescent="0.2">
      <c r="C275" s="17"/>
    </row>
    <row r="276" spans="3:3" s="5" customFormat="1" x14ac:dyDescent="0.2">
      <c r="C276" s="17"/>
    </row>
    <row r="277" spans="3:3" s="5" customFormat="1" x14ac:dyDescent="0.2">
      <c r="C277" s="17"/>
    </row>
    <row r="278" spans="3:3" s="5" customFormat="1" x14ac:dyDescent="0.2">
      <c r="C278" s="17"/>
    </row>
    <row r="279" spans="3:3" s="5" customFormat="1" x14ac:dyDescent="0.2">
      <c r="C279" s="17"/>
    </row>
    <row r="280" spans="3:3" s="5" customFormat="1" x14ac:dyDescent="0.2">
      <c r="C280" s="17"/>
    </row>
    <row r="281" spans="3:3" s="5" customFormat="1" x14ac:dyDescent="0.2">
      <c r="C281" s="17"/>
    </row>
    <row r="282" spans="3:3" s="5" customFormat="1" x14ac:dyDescent="0.2">
      <c r="C282" s="17"/>
    </row>
    <row r="283" spans="3:3" s="5" customFormat="1" x14ac:dyDescent="0.2">
      <c r="C283" s="17"/>
    </row>
    <row r="284" spans="3:3" s="5" customFormat="1" x14ac:dyDescent="0.2">
      <c r="C284" s="17"/>
    </row>
    <row r="285" spans="3:3" s="5" customFormat="1" x14ac:dyDescent="0.2">
      <c r="C285" s="17"/>
    </row>
    <row r="286" spans="3:3" s="5" customFormat="1" x14ac:dyDescent="0.2">
      <c r="C286" s="17"/>
    </row>
    <row r="287" spans="3:3" s="5" customFormat="1" x14ac:dyDescent="0.2">
      <c r="C287" s="17"/>
    </row>
    <row r="288" spans="3:3" s="5" customFormat="1" x14ac:dyDescent="0.2">
      <c r="C288" s="17"/>
    </row>
    <row r="289" spans="3:3" s="5" customFormat="1" x14ac:dyDescent="0.2">
      <c r="C289" s="17"/>
    </row>
    <row r="290" spans="3:3" s="5" customFormat="1" x14ac:dyDescent="0.2">
      <c r="C290" s="17"/>
    </row>
    <row r="291" spans="3:3" s="5" customFormat="1" x14ac:dyDescent="0.2">
      <c r="C291" s="17"/>
    </row>
    <row r="292" spans="3:3" s="5" customFormat="1" x14ac:dyDescent="0.2">
      <c r="C292" s="17"/>
    </row>
    <row r="293" spans="3:3" s="5" customFormat="1" x14ac:dyDescent="0.2">
      <c r="C293" s="17"/>
    </row>
    <row r="294" spans="3:3" s="5" customFormat="1" x14ac:dyDescent="0.2">
      <c r="C294" s="17"/>
    </row>
    <row r="295" spans="3:3" s="5" customFormat="1" x14ac:dyDescent="0.2">
      <c r="C295" s="17"/>
    </row>
    <row r="296" spans="3:3" s="5" customFormat="1" x14ac:dyDescent="0.2">
      <c r="C296" s="17"/>
    </row>
    <row r="297" spans="3:3" s="5" customFormat="1" x14ac:dyDescent="0.2">
      <c r="C297" s="17"/>
    </row>
    <row r="298" spans="3:3" s="5" customFormat="1" x14ac:dyDescent="0.2">
      <c r="C298" s="17"/>
    </row>
    <row r="299" spans="3:3" s="5" customFormat="1" x14ac:dyDescent="0.2">
      <c r="C299" s="17"/>
    </row>
    <row r="300" spans="3:3" s="5" customFormat="1" x14ac:dyDescent="0.2">
      <c r="C300" s="17"/>
    </row>
    <row r="301" spans="3:3" s="5" customFormat="1" x14ac:dyDescent="0.2">
      <c r="C301" s="17"/>
    </row>
    <row r="302" spans="3:3" s="5" customFormat="1" x14ac:dyDescent="0.2">
      <c r="C302" s="17"/>
    </row>
    <row r="303" spans="3:3" s="5" customFormat="1" x14ac:dyDescent="0.2">
      <c r="C303" s="17"/>
    </row>
    <row r="304" spans="3:3" s="5" customFormat="1" x14ac:dyDescent="0.2">
      <c r="C304" s="17"/>
    </row>
    <row r="305" spans="3:3" s="5" customFormat="1" x14ac:dyDescent="0.2">
      <c r="C305" s="17"/>
    </row>
    <row r="306" spans="3:3" s="5" customFormat="1" x14ac:dyDescent="0.2">
      <c r="C306" s="17"/>
    </row>
    <row r="307" spans="3:3" s="5" customFormat="1" x14ac:dyDescent="0.2">
      <c r="C307" s="17"/>
    </row>
    <row r="308" spans="3:3" s="5" customFormat="1" x14ac:dyDescent="0.2">
      <c r="C308" s="17"/>
    </row>
    <row r="309" spans="3:3" s="5" customFormat="1" x14ac:dyDescent="0.2">
      <c r="C309" s="17"/>
    </row>
    <row r="310" spans="3:3" s="5" customFormat="1" x14ac:dyDescent="0.2">
      <c r="C310" s="17"/>
    </row>
    <row r="311" spans="3:3" s="5" customFormat="1" x14ac:dyDescent="0.2">
      <c r="C311" s="17"/>
    </row>
    <row r="312" spans="3:3" s="5" customFormat="1" x14ac:dyDescent="0.2">
      <c r="C312" s="17"/>
    </row>
    <row r="313" spans="3:3" s="5" customFormat="1" x14ac:dyDescent="0.2">
      <c r="C313" s="17"/>
    </row>
    <row r="314" spans="3:3" s="5" customFormat="1" x14ac:dyDescent="0.2">
      <c r="C314" s="17"/>
    </row>
    <row r="315" spans="3:3" s="5" customFormat="1" x14ac:dyDescent="0.2">
      <c r="C315" s="17"/>
    </row>
    <row r="316" spans="3:3" s="5" customFormat="1" x14ac:dyDescent="0.2">
      <c r="C316" s="17"/>
    </row>
    <row r="317" spans="3:3" s="5" customFormat="1" x14ac:dyDescent="0.2">
      <c r="C317" s="17"/>
    </row>
    <row r="318" spans="3:3" s="5" customFormat="1" x14ac:dyDescent="0.2">
      <c r="C318" s="17"/>
    </row>
    <row r="319" spans="3:3" s="5" customFormat="1" x14ac:dyDescent="0.2">
      <c r="C319" s="17"/>
    </row>
    <row r="320" spans="3:3" s="5" customFormat="1" x14ac:dyDescent="0.2">
      <c r="C320" s="17"/>
    </row>
    <row r="321" spans="3:3" s="5" customFormat="1" x14ac:dyDescent="0.2">
      <c r="C321" s="17"/>
    </row>
    <row r="322" spans="3:3" s="5" customFormat="1" x14ac:dyDescent="0.2">
      <c r="C322" s="17"/>
    </row>
    <row r="323" spans="3:3" s="5" customFormat="1" x14ac:dyDescent="0.2">
      <c r="C323" s="17"/>
    </row>
    <row r="324" spans="3:3" s="5" customFormat="1" x14ac:dyDescent="0.2">
      <c r="C324" s="17"/>
    </row>
    <row r="325" spans="3:3" s="5" customFormat="1" x14ac:dyDescent="0.2">
      <c r="C325" s="17"/>
    </row>
    <row r="326" spans="3:3" s="5" customFormat="1" x14ac:dyDescent="0.2">
      <c r="C326" s="17"/>
    </row>
    <row r="327" spans="3:3" s="5" customFormat="1" x14ac:dyDescent="0.2">
      <c r="C327" s="17"/>
    </row>
    <row r="328" spans="3:3" s="5" customFormat="1" x14ac:dyDescent="0.2">
      <c r="C328" s="17"/>
    </row>
    <row r="329" spans="3:3" s="5" customFormat="1" x14ac:dyDescent="0.2">
      <c r="C329" s="17"/>
    </row>
    <row r="330" spans="3:3" s="5" customFormat="1" x14ac:dyDescent="0.2">
      <c r="C330" s="17"/>
    </row>
    <row r="331" spans="3:3" s="5" customFormat="1" x14ac:dyDescent="0.2">
      <c r="C331" s="17"/>
    </row>
    <row r="332" spans="3:3" s="5" customFormat="1" x14ac:dyDescent="0.2">
      <c r="C332" s="17"/>
    </row>
    <row r="333" spans="3:3" s="5" customFormat="1" x14ac:dyDescent="0.2">
      <c r="C333" s="17"/>
    </row>
    <row r="334" spans="3:3" s="5" customFormat="1" x14ac:dyDescent="0.2">
      <c r="C334" s="17"/>
    </row>
    <row r="335" spans="3:3" s="5" customFormat="1" x14ac:dyDescent="0.2">
      <c r="C335" s="17"/>
    </row>
    <row r="336" spans="3:3" s="5" customFormat="1" x14ac:dyDescent="0.2">
      <c r="C336" s="17"/>
    </row>
    <row r="337" spans="3:3" s="5" customFormat="1" x14ac:dyDescent="0.2">
      <c r="C337" s="17"/>
    </row>
    <row r="338" spans="3:3" s="5" customFormat="1" x14ac:dyDescent="0.2">
      <c r="C338" s="17"/>
    </row>
    <row r="339" spans="3:3" s="5" customFormat="1" x14ac:dyDescent="0.2">
      <c r="C339" s="17"/>
    </row>
    <row r="340" spans="3:3" s="5" customFormat="1" x14ac:dyDescent="0.2">
      <c r="C340" s="17"/>
    </row>
    <row r="341" spans="3:3" s="5" customFormat="1" x14ac:dyDescent="0.2">
      <c r="C341" s="17"/>
    </row>
    <row r="342" spans="3:3" s="5" customFormat="1" x14ac:dyDescent="0.2">
      <c r="C342" s="17"/>
    </row>
    <row r="343" spans="3:3" s="5" customFormat="1" x14ac:dyDescent="0.2">
      <c r="C343" s="17"/>
    </row>
    <row r="344" spans="3:3" s="5" customFormat="1" x14ac:dyDescent="0.2">
      <c r="C344" s="17"/>
    </row>
    <row r="345" spans="3:3" s="5" customFormat="1" x14ac:dyDescent="0.2">
      <c r="C345" s="17"/>
    </row>
    <row r="346" spans="3:3" s="5" customFormat="1" x14ac:dyDescent="0.2">
      <c r="C346" s="17"/>
    </row>
    <row r="347" spans="3:3" s="5" customFormat="1" x14ac:dyDescent="0.2">
      <c r="C347" s="17"/>
    </row>
    <row r="348" spans="3:3" s="5" customFormat="1" x14ac:dyDescent="0.2">
      <c r="C348" s="17"/>
    </row>
    <row r="349" spans="3:3" s="5" customFormat="1" x14ac:dyDescent="0.2">
      <c r="C349" s="17"/>
    </row>
    <row r="350" spans="3:3" s="5" customFormat="1" x14ac:dyDescent="0.2">
      <c r="C350" s="17"/>
    </row>
    <row r="351" spans="3:3" s="5" customFormat="1" x14ac:dyDescent="0.2">
      <c r="C351" s="17"/>
    </row>
    <row r="352" spans="3:3" s="5" customFormat="1" x14ac:dyDescent="0.2">
      <c r="C352" s="17"/>
    </row>
    <row r="353" spans="3:3" s="5" customFormat="1" x14ac:dyDescent="0.2">
      <c r="C353" s="17"/>
    </row>
    <row r="354" spans="3:3" s="5" customFormat="1" x14ac:dyDescent="0.2">
      <c r="C354" s="17"/>
    </row>
    <row r="355" spans="3:3" s="5" customFormat="1" x14ac:dyDescent="0.2">
      <c r="C355" s="17"/>
    </row>
    <row r="356" spans="3:3" s="5" customFormat="1" x14ac:dyDescent="0.2">
      <c r="C356" s="17"/>
    </row>
    <row r="357" spans="3:3" s="5" customFormat="1" x14ac:dyDescent="0.2">
      <c r="C357" s="17"/>
    </row>
    <row r="358" spans="3:3" s="5" customFormat="1" x14ac:dyDescent="0.2">
      <c r="C358" s="17"/>
    </row>
    <row r="359" spans="3:3" s="5" customFormat="1" x14ac:dyDescent="0.2">
      <c r="C359" s="17"/>
    </row>
    <row r="360" spans="3:3" s="5" customFormat="1" x14ac:dyDescent="0.2">
      <c r="C360" s="17"/>
    </row>
    <row r="361" spans="3:3" s="5" customFormat="1" x14ac:dyDescent="0.2">
      <c r="C361" s="17"/>
    </row>
    <row r="362" spans="3:3" s="5" customFormat="1" x14ac:dyDescent="0.2">
      <c r="C362" s="17"/>
    </row>
    <row r="363" spans="3:3" s="5" customFormat="1" x14ac:dyDescent="0.2">
      <c r="C363" s="17"/>
    </row>
    <row r="364" spans="3:3" s="5" customFormat="1" x14ac:dyDescent="0.2">
      <c r="C364" s="17"/>
    </row>
    <row r="365" spans="3:3" s="5" customFormat="1" x14ac:dyDescent="0.2">
      <c r="C365" s="17"/>
    </row>
    <row r="366" spans="3:3" s="5" customFormat="1" x14ac:dyDescent="0.2">
      <c r="C366" s="17"/>
    </row>
    <row r="367" spans="3:3" s="5" customFormat="1" x14ac:dyDescent="0.2">
      <c r="C367" s="17"/>
    </row>
  </sheetData>
  <customSheetViews>
    <customSheetView guid="{6AD6E9A0-EB1A-4C94-8728-519E134E4922}" showGridLines="0" hiddenRows="1" hiddenColumns="1">
      <selection activeCell="D15" sqref="D15"/>
      <rowBreaks count="1" manualBreakCount="1">
        <brk id="52" max="16383" man="1"/>
      </rowBreaks>
      <pageMargins left="0" right="0" top="0" bottom="0" header="0" footer="0"/>
      <pageSetup paperSize="9" scale="80" orientation="landscape" verticalDpi="300" r:id="rId1"/>
      <headerFooter alignWithMargins="0">
        <oddFooter xml:space="preserve">&amp;C&amp;9&amp;P&amp;R
</oddFooter>
      </headerFooter>
    </customSheetView>
    <customSheetView guid="{E54571B5-A941-4884-9FDB-8D7DB79F30FD}" showGridLines="0" hiddenRows="1" hiddenColumns="1" topLeftCell="B1">
      <selection activeCell="E17" sqref="E17"/>
      <rowBreaks count="1" manualBreakCount="1">
        <brk id="52" max="16383" man="1"/>
      </rowBreaks>
      <pageMargins left="0" right="0" top="0" bottom="0" header="0" footer="0"/>
      <pageSetup paperSize="9" scale="80" orientation="landscape" verticalDpi="300" r:id="rId2"/>
      <headerFooter alignWithMargins="0">
        <oddFooter xml:space="preserve">&amp;C&amp;9&amp;P&amp;R
</oddFooter>
      </headerFooter>
    </customSheetView>
  </customSheetViews>
  <conditionalFormatting sqref="D23:AC56 D68:AC83">
    <cfRule type="cellIs" dxfId="4" priority="6" operator="equal">
      <formula>"-"</formula>
    </cfRule>
    <cfRule type="cellIs" dxfId="3" priority="7" operator="equal">
      <formula>0</formula>
    </cfRule>
  </conditionalFormatting>
  <conditionalFormatting sqref="D89:AC90">
    <cfRule type="cellIs" dxfId="2" priority="2" operator="equal">
      <formula>"-"</formula>
    </cfRule>
    <cfRule type="cellIs" dxfId="1" priority="3" operator="equal">
      <formula>0</formula>
    </cfRule>
  </conditionalFormatting>
  <conditionalFormatting sqref="D89:AC91">
    <cfRule type="cellIs" dxfId="0" priority="1" operator="equal">
      <formula>"-"</formula>
    </cfRule>
  </conditionalFormatting>
  <dataValidations disablePrompts="1" count="1">
    <dataValidation type="list" allowBlank="1" showInputMessage="1" sqref="C36:C50 G17 D17:E17" xr:uid="{489A50B8-325F-489C-9D41-6A168B09C675}">
      <formula1>"..."</formula1>
    </dataValidation>
  </dataValidations>
  <printOptions gridLinesSet="0"/>
  <pageMargins left="0.78740157480314965" right="0.39370078740157483" top="0.78740157480314965" bottom="0.19685039370078741" header="0.51181102362204722" footer="0.51181102362204722"/>
  <pageSetup paperSize="9" scale="80" orientation="landscape" verticalDpi="300" r:id="rId3"/>
  <headerFooter alignWithMargins="0">
    <oddFooter xml:space="preserve">&amp;C&amp;9&amp;P&amp;R
</oddFooter>
  </headerFooter>
  <rowBreaks count="1" manualBreakCount="1">
    <brk id="71" max="16383" man="1"/>
  </rowBreaks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Zelfstandigen - Indépendants</vt:lpstr>
      <vt:lpstr>'Zelfstandigen - Indépendants'!Print_Titles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Julie Vinck</cp:lastModifiedBy>
  <cp:revision/>
  <dcterms:created xsi:type="dcterms:W3CDTF">2000-09-28T09:33:19Z</dcterms:created>
  <dcterms:modified xsi:type="dcterms:W3CDTF">2026-07-30T19:33:57Z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HIDDEN_GRID_QUERY_LIST_4F35BF76-6C0D-4D9B-82B2-816C12CF3733">
    <vt:lpwstr>empty_477D106A-C0D6-4607-AEBD-E2C9D60EA279</vt:lpwstr>
  </property>
  <property fmtid="{D5CDD505-2E9C-101B-9397-08002B2CF9AE}" pid="3" name="SV_QUERY_LIST_4F35BF76-6C0D-4D9B-82B2-816C12CF3733">
    <vt:lpwstr>empty_477D106A-C0D6-4607-AEBD-E2C9D60EA279</vt:lpwstr>
  </property>
</Properties>
</file>