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kuleuven-my.sharepoint.com/personal/julie_vinck_kuleuven_be/Documents/Gedeeld/UNIZO/Overzicht ontvangsten &amp; uitgaven WN's &amp; ZN'n/"/>
    </mc:Choice>
  </mc:AlternateContent>
  <xr:revisionPtr revIDLastSave="136" documentId="13_ncr:1_{B1BA351A-99FB-49BF-B8EE-9AD83DCE4AC7}" xr6:coauthVersionLast="47" xr6:coauthVersionMax="47" xr10:uidLastSave="{495E1990-A4F6-4855-B4EE-DF1B427C02C2}"/>
  <bookViews>
    <workbookView xWindow="-80" yWindow="-80" windowWidth="19360" windowHeight="10240" xr2:uid="{00000000-000D-0000-FFFF-FFFF00000000}"/>
  </bookViews>
  <sheets>
    <sheet name="Werknemers - Salariés" sheetId="87" r:id="rId1"/>
  </sheets>
  <definedNames>
    <definedName name="ACwvu.FR." localSheetId="0" hidden="1">'Werknemers - Salariés'!$D$1:$E$101</definedName>
    <definedName name="ACwvu.NL." localSheetId="0" hidden="1">'Werknemers - Salariés'!#REF!</definedName>
    <definedName name="Cwvu.FR." localSheetId="0" hidden="1">'Werknemers - Salariés'!#REF!,'Werknemers - Salariés'!#REF!,'Werknemers - Salariés'!#REF!,'Werknemers - Salariés'!#REF!</definedName>
    <definedName name="Cwvu.NL." localSheetId="0" hidden="1">'Werknemers - Salariés'!#REF!,'Werknemers - Salariés'!#REF!,'Werknemers - Salariés'!#REF!,'Werknemers - Salariés'!#REF!</definedName>
    <definedName name="EssAliasTable" localSheetId="0">"Nederlands"</definedName>
    <definedName name="EssfHasNonUnique" localSheetId="0">FALSE</definedName>
    <definedName name="EssLatest" localSheetId="0">"1991"</definedName>
    <definedName name="EssOptions" localSheetId="0">"A1100000000011000000001100020_01 00"</definedName>
    <definedName name="EssSamplingValue" localSheetId="0">100</definedName>
    <definedName name="gg">#REF!</definedName>
    <definedName name="jj">#REF!</definedName>
    <definedName name="Print_Area_MI">#REF!</definedName>
    <definedName name="_xlnm.Print_Titles" localSheetId="0">'Werknemers - Salariés'!$A:$A</definedName>
    <definedName name="Rwvu.FR." localSheetId="0" hidden="1">'Werknemers - Salariés'!$A:$A</definedName>
    <definedName name="Rwvu.NL." localSheetId="0" hidden="1">'Werknemers - Salariés'!#REF!</definedName>
    <definedName name="Swvu.FR." localSheetId="0" hidden="1">'Werknemers - Salariés'!$D$1:$E$101</definedName>
    <definedName name="Swvu.NL." localSheetId="0" hidden="1">'Werknemers - Salariés'!#REF!</definedName>
    <definedName name="tes">#REF!</definedName>
    <definedName name="wrn.1996." localSheetId="0" hidden="1">{"NLINKS",#N/A,FALSE,"Cons 1996"}</definedName>
    <definedName name="wrn.1996." hidden="1">{"NLINKS",#N/A,FALSE,"Cons 1996"}</definedName>
    <definedName name="wrn.1996_EURO." localSheetId="0" hidden="1">{"NL",#N/A,FALSE,"Cons 1996 (EURO)";"FR",#N/A,FALSE,"Cons 1996 (EURO)"}</definedName>
    <definedName name="wrn.1996_EURO." hidden="1">{"NL",#N/A,FALSE,"Cons 1996 (EURO)";"FR",#N/A,FALSE,"Cons 1996 (EURO)"}</definedName>
    <definedName name="wrn.1997." localSheetId="0" hidden="1">{"NLINKS",#N/A,FALSE,"Cons 1997";"NRECHTS",#N/A,FALSE,"Cons 1997"}</definedName>
    <definedName name="wrn.1997." hidden="1">{"NLINKS",#N/A,FALSE,"Cons 1997";"NRECHTS",#N/A,FALSE,"Cons 1997"}</definedName>
    <definedName name="wrn.1997_EURO." localSheetId="0" hidden="1">{"NLINKS",#N/A,FALSE,"Cons 1997 (EURO)";"NRECHTS",#N/A,FALSE,"Cons 1997 (EURO)";"FLINKS",#N/A,FALSE,"Cons 1997 (EURO)";"FRECHTS",#N/A,FALSE,"Cons 1997 (EURO)"}</definedName>
    <definedName name="wrn.1997_EURO." hidden="1">{"NLINKS",#N/A,FALSE,"Cons 1997 (EURO)";"NRECHTS",#N/A,FALSE,"Cons 1997 (EURO)";"FLINKS",#N/A,FALSE,"Cons 1997 (EURO)";"FRECHTS",#N/A,FALSE,"Cons 1997 (EURO)"}</definedName>
    <definedName name="wrn.1998." localSheetId="0" hidden="1">{"NLINKS",#N/A,FALSE,"Cons 1998";"NRECHTS",#N/A,FALSE,"Cons 1998"}</definedName>
    <definedName name="wrn.1998." hidden="1">{"NLINKS",#N/A,FALSE,"Cons 1998";"NRECHTS",#N/A,FALSE,"Cons 1998"}</definedName>
    <definedName name="wrn.1998_EURO." localSheetId="0" hidden="1">{"NLINKS",#N/A,FALSE,"Cons 1998 (EURO)";"NRECHTS",#N/A,FALSE,"Cons 1998 (EURO)";"FLINKS",#N/A,FALSE,"Cons 1998 (EURO)";"FRECHTS",#N/A,FALSE,"Cons 1998 (EURO)"}</definedName>
    <definedName name="wrn.1998_EURO." hidden="1">{"NLINKS",#N/A,FALSE,"Cons 1998 (EURO)";"NRECHTS",#N/A,FALSE,"Cons 1998 (EURO)";"FLINKS",#N/A,FALSE,"Cons 1998 (EURO)";"FRECHTS",#N/A,FALSE,"Cons 1998 (EURO)"}</definedName>
    <definedName name="wrn.1999." localSheetId="0" hidden="1">{"NLINKS",#N/A,FALSE,"Cons 1999";"NRECHTS",#N/A,FALSE,"Cons 1999"}</definedName>
    <definedName name="wrn.1999." hidden="1">{"NLINKS",#N/A,FALSE,"Cons 1999";"NRECHTS",#N/A,FALSE,"Cons 1999"}</definedName>
    <definedName name="wrn.1999_EURO." localSheetId="0" hidden="1">{"NLINKS",#N/A,FALSE,"Cons 1999 (EURO)";"NRECHTS",#N/A,FALSE,"Cons 1999 (EURO)";"FLINKS",#N/A,FALSE,"Cons 1999 (EURO)";"FRECHTS",#N/A,FALSE,"Cons 1999 (EURO)"}</definedName>
    <definedName name="wrn.1999_EURO." hidden="1">{"NLINKS",#N/A,FALSE,"Cons 1999 (EURO)";"NRECHTS",#N/A,FALSE,"Cons 1999 (EURO)";"FLINKS",#N/A,FALSE,"Cons 1999 (EURO)";"FRECHTS",#N/A,FALSE,"Cons 1999 (EURO)"}</definedName>
    <definedName name="wrn.2000." localSheetId="0" hidden="1">{"NLINKS",#N/A,FALSE,"Cons 2000";"NRECHTS",#N/A,FALSE,"Cons 2000"}</definedName>
    <definedName name="wrn.2000." hidden="1">{"NLINKS",#N/A,FALSE,"Cons 2000";"NRECHTS",#N/A,FALSE,"Cons 2000"}</definedName>
    <definedName name="wrn.ALLLINKS." hidden="1">{"FRANSLINKS",#N/A,FALSE,"2.1.1-2.1.5";"NEDERLANDSLINKS",#N/A,FALSE,"2.1.1-2.1.5";"FRANSRECHTS",#N/A,FALSE,"2.2.1-2.2.4";"NEDERLANDSRECHTS",#N/A,FALSE,"2.2.1-2.2.4"}</definedName>
    <definedName name="wrn.Comfin." hidden="1">{"ANNEXE 1",#N/A,FALSE,"Annexe 1";"Annexe 2",#N/A,FALSE,"Annexe 2 et 5";"Prévisions 3",#N/A,FALSE,"Previsions 3";"Réalisations 3Bis",#N/A,FALSE,"Realisations 3BIS";"Prévisions 4",#N/A,FALSE,"Previsions 4";"Réalisations 4Bis",#N/A,FALSE,"Realisations 4BIS";"Prévisions 5",#N/A,FALSE,"Previsions 5";"Réalisations 5Bis",#N/A,FALSE,"Realisations 5BIS"}</definedName>
    <definedName name="wrn.Disponibilités." hidden="1">{"DISP 1",#N/A,FALSE,"Annexe 1";"DISP 5",#N/A,FALSE,"Annexe 2 et 5";"Disp 2",#N/A,FALSE,"Previsions 3";"DISP 2",#N/A,FALSE,"Realisations 3BIS";"Disp 2",#N/A,FALSE,"Previsions 4";"DISP 2",#N/A,FALSE,"Realisations 4BIS";"Disp 2",#N/A,FALSE,"Previsions 5";"DISP 2",#N/A,FALSE,"Realisations 5BIS"}</definedName>
    <definedName name="wrn.FR_RSZ." hidden="1">{"FR",#N/A,TRUE,"Ontvangsten";"FR",#N/A,TRUE,"Ontvangsten (vervolg)";"FR",#N/A,TRUE,"Uitgaven";"FR",#N/A,TRUE,"Voetnoot (fr)"}</definedName>
    <definedName name="wrn.globaal." hidden="1">{"frans",#N/A,FALSE,"Blad1";"nederlands",#N/A,FALSE,"Blad1"}</definedName>
    <definedName name="wrn.LINKS." hidden="1">{"FRANSLINKS",#N/A,FALSE,"1-3";"NEDERLANDSLINKS",#N/A,FALSE,"1-3"}</definedName>
    <definedName name="wrn.NL_RSZ." hidden="1">{"NL",#N/A,TRUE,"Ontvangsten";"NL",#N/A,TRUE,"Ontvangsten (vervolg)";"NL",#N/A,TRUE,"Uitgaven";"NL",#N/A,TRUE,"Voetnoot (nl)"}</definedName>
    <definedName name="wrn.rep95." hidden="1">{"globaal",#N/A,FALSE,"REPART95";"RJV",#N/A,FALSE,"REPART95";"bijz heffingen bijkomende bijdr",#N/A,FALSE,"REPART95";"FBZ",#N/A,FALSE,"REPART95";"rest",#N/A,FALSE,"REPART95"}</definedName>
    <definedName name="wvu.FR." localSheetId="0" hidden="1">{TRUE,TRUE,-1.25,-15.5,484.5,262.5,FALSE,FALSE,TRUE,TRUE,0,5,#N/A,1,#N/A,8.73529411764706,13.6153846153846,1,FALSE,FALSE,3,TRUE,1,FALSE,100,"Swvu.FR.","ACwvu.FR.",#N/A,FALSE,FALSE,0.7,0.5,0.7,0.5,2,"","",TRUE,FALSE,FALSE,FALSE,1,100,#N/A,#N/A,"=R1C5:R121C18",FALSE,"Rwvu.FR.","Cwvu.FR.",FALSE,FALSE,TRUE,9,300,300,FALSE,FALSE,TRUE,TRUE,TRUE}</definedName>
    <definedName name="wvu.NL." localSheetId="0" hidden="1">{TRUE,TRUE,-1.25,-15.5,484.5,262.5,FALSE,FALSE,TRUE,TRUE,0,1,#N/A,148,#N/A,12.7352941176471,17.1764705882353,1,FALSE,FALSE,3,TRUE,1,FALSE,100,"Swvu.NL.","ACwvu.NL.",#N/A,FALSE,FALSE,0.7,0.5,0.7,0.5,2,"","",TRUE,FALSE,FALSE,FALSE,1,100,#N/A,#N/A,"=R1C1:R121C18",FALSE,"Rwvu.NL.","Cwvu.NL.",FALSE,FALSE,TRUE,9,300,300,FALSE,FALSE,TRUE,TRUE,TRUE}</definedName>
    <definedName name="Z_0B01A096_28A2_4E4A_8444_59FB604EA9AD_.wvu.Cols" localSheetId="0" hidden="1">'Werknemers - Salariés'!$B:$C</definedName>
    <definedName name="Z_0B01A096_28A2_4E4A_8444_59FB604EA9AD_.wvu.Rows" localSheetId="0" hidden="1">'Werknemers - Salariés'!$13:$13</definedName>
    <definedName name="Z_0EE7602A_846B_493E_A732_C5A3DB985FE0_.wvu.Cols" localSheetId="0" hidden="1">'Werknemers - Salariés'!$B:$C</definedName>
    <definedName name="Z_0EE7602A_846B_493E_A732_C5A3DB985FE0_.wvu.Rows" localSheetId="0" hidden="1">'Werknemers - Salariés'!$16:$16,'Werknemers - Salariés'!#REF!,'Werknemers - Salariés'!#REF!,'Werknemers - Salariés'!$69:$69,'Werknemers - Salariés'!$94:$94</definedName>
    <definedName name="Z_1B70A37E_3070_11D4_9DAD_00C04F913B58_.wvu.Cols" localSheetId="0" hidden="1">'Werknemers - Salariés'!#REF!,'Werknemers - Salariés'!$A:$A</definedName>
    <definedName name="Z_1B70A37E_3070_11D4_9DAD_00C04F913B58_.wvu.PrintArea" localSheetId="0" hidden="1">'Werknemers - Salariés'!$A$1:$E$101</definedName>
    <definedName name="Z_1B70A37E_3070_11D4_9DAD_00C04F913B58_.wvu.Rows" localSheetId="0" hidden="1">'Werknemers - Salariés'!#REF!,'Werknemers - Salariés'!#REF!,'Werknemers - Salariés'!#REF!,'Werknemers - Salariés'!#REF!,'Werknemers - Salariés'!#REF!</definedName>
    <definedName name="Z_264BED54_18A2_4AAB_9DF9_C15D3BDBC061_.wvu.Cols" localSheetId="0" hidden="1">'Werknemers - Salariés'!$A:$A,'Werknemers - Salariés'!$C:$C</definedName>
    <definedName name="Z_264BED54_18A2_4AAB_9DF9_C15D3BDBC061_.wvu.Rows" localSheetId="0" hidden="1">'Werknemers - Salariés'!$13:$13</definedName>
    <definedName name="Z_3A1BD482_F6C6_440A_BC66_B6EBEED8DE08_.wvu.Cols" localSheetId="0" hidden="1">'Werknemers - Salariés'!$B:$C</definedName>
    <definedName name="Z_3A1BD482_F6C6_440A_BC66_B6EBEED8DE08_.wvu.PrintTitles" localSheetId="0" hidden="1">'Werknemers - Salariés'!$A:$A</definedName>
    <definedName name="Z_3A1BD482_F6C6_440A_BC66_B6EBEED8DE08_.wvu.Rows" localSheetId="0" hidden="1">'Werknemers - Salariés'!$12:$14</definedName>
    <definedName name="Z_4A3E2074_69B5_49C8_AE30_88A5F9F13AC3_.wvu.Cols" localSheetId="0" hidden="1">'Werknemers - Salariés'!$B:$C</definedName>
    <definedName name="Z_4A3E2074_69B5_49C8_AE30_88A5F9F13AC3_.wvu.Rows" localSheetId="0" hidden="1">'Werknemers - Salariés'!$16:$16,'Werknemers - Salariés'!#REF!,'Werknemers - Salariés'!#REF!,'Werknemers - Salariés'!$69:$69,'Werknemers - Salariés'!$94:$94</definedName>
    <definedName name="Z_5E0D1B85_7357_4179_8F74_AAC5CDF329EA_.wvu.Cols" localSheetId="0" hidden="1">'Werknemers - Salariés'!$B:$C</definedName>
    <definedName name="Z_5E0D1B85_7357_4179_8F74_AAC5CDF329EA_.wvu.PrintTitles" localSheetId="0" hidden="1">'Werknemers - Salariés'!$A:$A</definedName>
    <definedName name="Z_5E0D1B85_7357_4179_8F74_AAC5CDF329EA_.wvu.Rows" localSheetId="0" hidden="1">'Werknemers - Salariés'!$12:$14</definedName>
    <definedName name="Z_5E91B2FE_23F2_4D61_9C51_AB74F1CAAD7B_.wvu.Cols" localSheetId="0" hidden="1">'Werknemers - Salariés'!$A:$A,'Werknemers - Salariés'!$C:$C</definedName>
    <definedName name="Z_5E91B2FE_23F2_4D61_9C51_AB74F1CAAD7B_.wvu.PrintTitles" localSheetId="0" hidden="1">'Werknemers - Salariés'!$B:$B</definedName>
    <definedName name="Z_5E91B2FE_23F2_4D61_9C51_AB74F1CAAD7B_.wvu.Rows" localSheetId="0" hidden="1">'Werknemers - Salariés'!$12:$14</definedName>
    <definedName name="Z_6AD6E9A0_EB1A_4C94_8728_519E134E4922_.wvu.Cols" localSheetId="0" hidden="1">'Werknemers - Salariés'!$B:$C</definedName>
    <definedName name="Z_6AD6E9A0_EB1A_4C94_8728_519E134E4922_.wvu.PrintTitles" localSheetId="0" hidden="1">'Werknemers - Salariés'!$A:$A</definedName>
    <definedName name="Z_6AD6E9A0_EB1A_4C94_8728_519E134E4922_.wvu.Rows" localSheetId="0" hidden="1">'Werknemers - Salariés'!$9:$14,'Werknemers - Salariés'!$56:$57</definedName>
    <definedName name="Z_72CBA019_1C43_11D5_9E3B_00C04F913B58_.wvu.Cols" localSheetId="0" hidden="1">'Werknemers - Salariés'!$C:$C</definedName>
    <definedName name="Z_72CBA019_1C43_11D5_9E3B_00C04F913B58_.wvu.PrintArea" localSheetId="0" hidden="1">'Werknemers - Salariés'!$A$1:$E$101</definedName>
    <definedName name="Z_72CBA019_1C43_11D5_9E3B_00C04F913B58_.wvu.Rows" localSheetId="0" hidden="1">'Werknemers - Salariés'!#REF!</definedName>
    <definedName name="Z_96213951_B28B_4589_A249_F420C08C93BA_.wvu.Cols" localSheetId="0" hidden="1">'Werknemers - Salariés'!$A:$A,'Werknemers - Salariés'!$C:$C</definedName>
    <definedName name="Z_96213951_B28B_4589_A249_F420C08C93BA_.wvu.PrintTitles" localSheetId="0" hidden="1">'Werknemers - Salariés'!$B:$B</definedName>
    <definedName name="Z_96213951_B28B_4589_A249_F420C08C93BA_.wvu.Rows" localSheetId="0" hidden="1">'Werknemers - Salariés'!$12:$14</definedName>
    <definedName name="Z_9AD80EF8_4FD1_45D2_B8CB_8A1E48F07BB9_.wvu.Cols" localSheetId="0" hidden="1">'Werknemers - Salariés'!$A:$A,'Werknemers - Salariés'!$C:$C</definedName>
    <definedName name="Z_9AD80EF8_4FD1_45D2_B8CB_8A1E48F07BB9_.wvu.Rows" localSheetId="0" hidden="1">'Werknemers - Salariés'!$13:$13</definedName>
    <definedName name="Z_9F0F10F8_8A4F_47A8_8D31_5F4DD916EF70_.wvu.Cols" localSheetId="0" hidden="1">'Werknemers - Salariés'!$B:$C</definedName>
    <definedName name="Z_9F0F10F8_8A4F_47A8_8D31_5F4DD916EF70_.wvu.PrintTitles" localSheetId="0" hidden="1">'Werknemers - Salariés'!$A:$A</definedName>
    <definedName name="Z_9F0F10F8_8A4F_47A8_8D31_5F4DD916EF70_.wvu.Rows" localSheetId="0" hidden="1">'Werknemers - Salariés'!$12:$14</definedName>
    <definedName name="Z_A2162A5D_9448_4CD2_909B_69E88DFDD5CA_.wvu.Cols" localSheetId="0" hidden="1">'Werknemers - Salariés'!$B:$C</definedName>
    <definedName name="Z_A2162A5D_9448_4CD2_909B_69E88DFDD5CA_.wvu.PrintArea" localSheetId="0" hidden="1">'Werknemers - Salariés'!$A$1:$E$100</definedName>
    <definedName name="Z_A2162A5D_9448_4CD2_909B_69E88DFDD5CA_.wvu.Rows" localSheetId="0" hidden="1">'Werknemers - Salariés'!$16:$16,'Werknemers - Salariés'!#REF!,'Werknemers - Salariés'!$69:$69,'Werknemers - Salariés'!$94:$94</definedName>
    <definedName name="Z_A29940B8_A4C8_11D4_9DE9_00C04F913B58_.wvu.Rows" localSheetId="0" hidden="1">'Werknemers - Salariés'!#REF!,'Werknemers - Salariés'!#REF!</definedName>
    <definedName name="Z_A29940C5_A4C8_11D4_9DE9_00C04F913B58_.wvu.Rows" localSheetId="0" hidden="1">'Werknemers - Salariés'!#REF!,'Werknemers - Salariés'!#REF!</definedName>
    <definedName name="Z_AFDC97C9_B74F_4DFD_9521_1D85F337F6A6_.wvu.Cols" localSheetId="0" hidden="1">'Werknemers - Salariés'!$A:$A,'Werknemers - Salariés'!$C:$C</definedName>
    <definedName name="Z_AFDC97C9_B74F_4DFD_9521_1D85F337F6A6_.wvu.PrintArea" localSheetId="0" hidden="1">'Werknemers - Salariés'!$A$1:$E$100</definedName>
    <definedName name="Z_AFDC97C9_B74F_4DFD_9521_1D85F337F6A6_.wvu.Rows" localSheetId="0" hidden="1">'Werknemers - Salariés'!#REF!,'Werknemers - Salariés'!#REF!,'Werknemers - Salariés'!#REF!</definedName>
    <definedName name="Z_B3F64095_2A81_4BF7_AE11_D6F60E8F42D0_.wvu.Cols" localSheetId="0" hidden="1">'Werknemers - Salariés'!$A:$A,'Werknemers - Salariés'!$C:$C</definedName>
    <definedName name="Z_B3F64095_2A81_4BF7_AE11_D6F60E8F42D0_.wvu.PrintArea" localSheetId="0" hidden="1">'Werknemers - Salariés'!$A$1:$E$99</definedName>
    <definedName name="Z_B3F64095_2A81_4BF7_AE11_D6F60E8F42D0_.wvu.Rows" localSheetId="0" hidden="1">'Werknemers - Salariés'!#REF!,'Werknemers - Salariés'!#REF!,'Werknemers - Salariés'!#REF!,'Werknemers - Salariés'!#REF!,'Werknemers - Salariés'!#REF!,'Werknemers - Salariés'!#REF!</definedName>
    <definedName name="Z_BE8B3F93_3AA7_11D4_9DB1_00C04F913B58_.wvu.Cols" localSheetId="0" hidden="1">'Werknemers - Salariés'!#REF!,'Werknemers - Salariés'!$A:$A</definedName>
    <definedName name="Z_BE8B3F93_3AA7_11D4_9DB1_00C04F913B58_.wvu.PrintArea" localSheetId="0" hidden="1">'Werknemers - Salariés'!$A$1:$E$101</definedName>
    <definedName name="Z_BE8B3F93_3AA7_11D4_9DB1_00C04F913B58_.wvu.Rows" localSheetId="0" hidden="1">'Werknemers - Salariés'!#REF!,'Werknemers - Salariés'!#REF!,'Werknemers - Salariés'!#REF!,'Werknemers - Salariés'!#REF!,'Werknemers - Salariés'!#REF!</definedName>
    <definedName name="Z_D01A5B13_27D4_11D4_9DA2_00C04F913B58_.wvu.Cols" localSheetId="0" hidden="1">'Werknemers - Salariés'!$A:$A</definedName>
    <definedName name="Z_D01A5B13_27D4_11D4_9DA2_00C04F913B58_.wvu.PrintArea" localSheetId="0" hidden="1">'Werknemers - Salariés'!$A$1:$E$101</definedName>
    <definedName name="Z_D01A5B13_27D4_11D4_9DA2_00C04F913B58_.wvu.Rows" localSheetId="0" hidden="1">'Werknemers - Salariés'!#REF!,'Werknemers - Salariés'!#REF!,'Werknemers - Salariés'!#REF!,'Werknemers - Salariés'!#REF!,'Werknemers - Salariés'!#REF!</definedName>
    <definedName name="Z_D01A5B15_27D4_11D4_9DA2_00C04F913B58_.wvu.Cols" localSheetId="0" hidden="1">'Werknemers - Salariés'!$A:$A</definedName>
    <definedName name="Z_D01A5B15_27D4_11D4_9DA2_00C04F913B58_.wvu.PrintArea" localSheetId="0" hidden="1">'Werknemers - Salariés'!$A$1:$E$101</definedName>
    <definedName name="Z_D01A5B15_27D4_11D4_9DA2_00C04F913B58_.wvu.Rows" localSheetId="0" hidden="1">'Werknemers - Salariés'!#REF!,'Werknemers - Salariés'!#REF!,'Werknemers - Salariés'!#REF!,'Werknemers - Salariés'!#REF!,'Werknemers - Salariés'!#REF!</definedName>
    <definedName name="Z_D2DF1F46_DD1C_4E76_A7B0_F3CF809E7D8D_.wvu.Cols" localSheetId="0" hidden="1">'Werknemers - Salariés'!$B:$C</definedName>
    <definedName name="Z_D2DF1F46_DD1C_4E76_A7B0_F3CF809E7D8D_.wvu.Rows" localSheetId="0" hidden="1">'Werknemers - Salariés'!$13:$13</definedName>
    <definedName name="Z_D818413A_D948_11D3_9D64_00C04F913B58_.wvu.Cols" localSheetId="0" hidden="1">'Werknemers - Salariés'!#REF!</definedName>
    <definedName name="Z_D818413A_D948_11D3_9D64_00C04F913B58_.wvu.PrintArea" localSheetId="0" hidden="1">'Werknemers - Salariés'!$A$1:$E$101</definedName>
    <definedName name="Z_D818413A_D948_11D3_9D64_00C04F913B58_.wvu.Rows" localSheetId="0" hidden="1">'Werknemers - Salariés'!#REF!,'Werknemers - Salariés'!#REF!,'Werknemers - Salariés'!#REF!,'Werknemers - Salariés'!#REF!</definedName>
    <definedName name="Z_E54571B5_A941_4884_9FDB_8D7DB79F30FD_.wvu.Cols" localSheetId="0" hidden="1">'Werknemers - Salariés'!$A:$A,'Werknemers - Salariés'!$C:$C</definedName>
    <definedName name="Z_E54571B5_A941_4884_9FDB_8D7DB79F30FD_.wvu.PrintTitles" localSheetId="0" hidden="1">'Werknemers - Salariés'!$A:$A</definedName>
    <definedName name="Z_E54571B5_A941_4884_9FDB_8D7DB79F30FD_.wvu.Rows" localSheetId="0" hidden="1">'Werknemers - Salariés'!$9:$14,'Werknemers - Salariés'!$56:$57</definedName>
    <definedName name="Z_F4452D0B_C7BC_471C_A6A0_212B6DEC1B71_.wvu.Cols" localSheetId="0" hidden="1">'Werknemers - Salariés'!$B:$C</definedName>
    <definedName name="Z_F4452D0B_C7BC_471C_A6A0_212B6DEC1B71_.wvu.PrintArea" localSheetId="0" hidden="1">'Werknemers - Salariés'!$A$1:$E$99</definedName>
    <definedName name="Z_F4452D0B_C7BC_471C_A6A0_212B6DEC1B71_.wvu.Rows" localSheetId="0" hidden="1">'Werknemers - Salariés'!$16:$16,'Werknemers - Salariés'!#REF!,'Werknemers - Salariés'!#REF!,'Werknemers - Salariés'!#REF!,'Werknemers - Salariés'!#REF!,'Werknemers - Salariés'!$69:$69,'Werknemers - Salariés'!#REF!,'Werknemers - Salariés'!$94:$94</definedName>
    <definedName name="Z_F87CD123_B47F_11D4_9DF0_00C04F913B58_.wvu.Rows" localSheetId="0" hidden="1">'Werknemers - Salariés'!#REF!,'Werknemers - Salariés'!#REF!</definedName>
  </definedNames>
  <calcPr calcId="191029"/>
  <customWorkbookViews>
    <customWorkbookView name="synthese" guid="{B6C272A7-65E1-4176-A2B6-DBC6170CF245}" maximized="1" xWindow="-8" yWindow="-8" windowWidth="1936" windowHeight="1056" activeSheetId="83"/>
    <customWorkbookView name="NL" guid="{6AD6E9A0-EB1A-4C94-8728-519E134E4922}" maximized="1" xWindow="-8" yWindow="-8" windowWidth="1936" windowHeight="1048" activeSheetId="90"/>
    <customWorkbookView name="FR" guid="{E54571B5-A941-4884-9FDB-8D7DB79F30FD}" maximized="1" xWindow="-8" yWindow="-8" windowWidth="1936" windowHeight="1048" activeSheetId="9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F64" i="87" l="1"/>
  <c r="AF65" i="87"/>
  <c r="AF63" i="87"/>
  <c r="AE64" i="87"/>
  <c r="AE65" i="87"/>
  <c r="AE63" i="87"/>
  <c r="E63" i="87"/>
  <c r="F63" i="87"/>
  <c r="G63" i="87"/>
  <c r="H63" i="87"/>
  <c r="I63" i="87"/>
  <c r="J63" i="87"/>
  <c r="K63" i="87"/>
  <c r="L63" i="87"/>
  <c r="M63" i="87"/>
  <c r="N63" i="87"/>
  <c r="O63" i="87"/>
  <c r="P63" i="87"/>
  <c r="Q63" i="87"/>
  <c r="R63" i="87"/>
  <c r="S63" i="87"/>
  <c r="T63" i="87"/>
  <c r="U63" i="87"/>
  <c r="V63" i="87"/>
  <c r="W63" i="87"/>
  <c r="X63" i="87"/>
  <c r="Y63" i="87"/>
  <c r="Z63" i="87"/>
  <c r="AA63" i="87"/>
  <c r="AB63" i="87"/>
  <c r="AC63" i="87"/>
  <c r="E64" i="87"/>
  <c r="F64" i="87"/>
  <c r="G64" i="87"/>
  <c r="H64" i="87"/>
  <c r="I64" i="87"/>
  <c r="J64" i="87"/>
  <c r="K64" i="87"/>
  <c r="L64" i="87"/>
  <c r="M64" i="87"/>
  <c r="N64" i="87"/>
  <c r="O64" i="87"/>
  <c r="P64" i="87"/>
  <c r="Q64" i="87"/>
  <c r="R64" i="87"/>
  <c r="S64" i="87"/>
  <c r="T64" i="87"/>
  <c r="U64" i="87"/>
  <c r="V64" i="87"/>
  <c r="W64" i="87"/>
  <c r="X64" i="87"/>
  <c r="Y64" i="87"/>
  <c r="Z64" i="87"/>
  <c r="AA64" i="87"/>
  <c r="AB64" i="87"/>
  <c r="AC64" i="87"/>
  <c r="E65" i="87"/>
  <c r="F65" i="87"/>
  <c r="G65" i="87"/>
  <c r="H65" i="87"/>
  <c r="I65" i="87"/>
  <c r="J65" i="87"/>
  <c r="K65" i="87"/>
  <c r="L65" i="87"/>
  <c r="M65" i="87"/>
  <c r="N65" i="87"/>
  <c r="O65" i="87"/>
  <c r="P65" i="87"/>
  <c r="Q65" i="87"/>
  <c r="R65" i="87"/>
  <c r="S65" i="87"/>
  <c r="T65" i="87"/>
  <c r="U65" i="87"/>
  <c r="V65" i="87"/>
  <c r="W65" i="87"/>
  <c r="X65" i="87"/>
  <c r="Y65" i="87"/>
  <c r="Z65" i="87"/>
  <c r="AA65" i="87"/>
  <c r="AB65" i="87"/>
  <c r="AC65" i="87"/>
  <c r="D65" i="87"/>
  <c r="D64" i="87"/>
  <c r="D63" i="87"/>
  <c r="E66" i="87"/>
  <c r="F66" i="87"/>
  <c r="G66" i="87"/>
  <c r="H66" i="87"/>
  <c r="I66" i="87"/>
  <c r="J66" i="87"/>
  <c r="K66" i="87"/>
  <c r="L66" i="87"/>
  <c r="M66" i="87"/>
  <c r="N66" i="87"/>
  <c r="O66" i="87"/>
  <c r="P66" i="87"/>
  <c r="Q66" i="87"/>
  <c r="R66" i="87"/>
  <c r="S66" i="87"/>
  <c r="T66" i="87"/>
  <c r="U66" i="87"/>
  <c r="V66" i="87"/>
  <c r="W66" i="87"/>
  <c r="X66" i="87"/>
  <c r="Y66" i="87"/>
  <c r="Z66" i="87"/>
  <c r="AA66" i="87"/>
  <c r="AB66" i="87"/>
  <c r="AC66" i="87"/>
  <c r="D66" i="87"/>
  <c r="E60" i="87"/>
  <c r="F60" i="87"/>
  <c r="G60" i="87"/>
  <c r="H60" i="87"/>
  <c r="I60" i="87"/>
  <c r="J60" i="87"/>
  <c r="K60" i="87"/>
  <c r="L60" i="87"/>
  <c r="M60" i="87"/>
  <c r="N60" i="87"/>
  <c r="O60" i="87"/>
  <c r="P60" i="87"/>
  <c r="Q60" i="87"/>
  <c r="R60" i="87"/>
  <c r="S60" i="87"/>
  <c r="T60" i="87"/>
  <c r="U60" i="87"/>
  <c r="V60" i="87"/>
  <c r="W60" i="87"/>
  <c r="X60" i="87"/>
  <c r="Y60" i="87"/>
  <c r="Z60" i="87"/>
  <c r="AA60" i="87"/>
  <c r="AB60" i="87"/>
  <c r="AC60" i="87"/>
  <c r="D60" i="87"/>
  <c r="D62" i="87"/>
  <c r="D61" i="87"/>
  <c r="D7" i="87"/>
  <c r="E61" i="87"/>
  <c r="F61" i="87"/>
  <c r="G61" i="87"/>
  <c r="H61" i="87"/>
  <c r="I61" i="87"/>
  <c r="J61" i="87"/>
  <c r="K61" i="87"/>
  <c r="L61" i="87"/>
  <c r="M61" i="87"/>
  <c r="N61" i="87"/>
  <c r="O61" i="87"/>
  <c r="P61" i="87"/>
  <c r="Q61" i="87"/>
  <c r="R61" i="87"/>
  <c r="S61" i="87"/>
  <c r="T61" i="87"/>
  <c r="U61" i="87"/>
  <c r="V61" i="87"/>
  <c r="W61" i="87"/>
  <c r="X61" i="87"/>
  <c r="Y61" i="87"/>
  <c r="Z61" i="87"/>
  <c r="AA61" i="87"/>
  <c r="AB61" i="87"/>
  <c r="AC61" i="87"/>
  <c r="E62" i="87"/>
  <c r="F62" i="87"/>
  <c r="G62" i="87"/>
  <c r="H62" i="87"/>
  <c r="I62" i="87"/>
  <c r="J62" i="87"/>
  <c r="K62" i="87"/>
  <c r="L62" i="87"/>
  <c r="M62" i="87"/>
  <c r="N62" i="87"/>
  <c r="O62" i="87"/>
  <c r="P62" i="87"/>
  <c r="Q62" i="87"/>
  <c r="R62" i="87"/>
  <c r="S62" i="87"/>
  <c r="T62" i="87"/>
  <c r="U62" i="87"/>
  <c r="V62" i="87"/>
  <c r="W62" i="87"/>
  <c r="X62" i="87"/>
  <c r="Y62" i="87"/>
  <c r="Z62" i="87"/>
  <c r="AA62" i="87"/>
  <c r="AB62" i="87"/>
  <c r="AC62" i="87"/>
  <c r="AD23" i="87"/>
  <c r="AD31" i="87"/>
  <c r="D68" i="87"/>
  <c r="D6" i="87" s="1"/>
  <c r="E68" i="87"/>
  <c r="E6" i="87" s="1"/>
  <c r="F68" i="87"/>
  <c r="F6" i="87" s="1"/>
  <c r="G68" i="87"/>
  <c r="G6" i="87" s="1"/>
  <c r="H68" i="87"/>
  <c r="H6" i="87" s="1"/>
  <c r="I68" i="87"/>
  <c r="I6" i="87" s="1"/>
  <c r="J68" i="87"/>
  <c r="J6" i="87" s="1"/>
  <c r="K68" i="87"/>
  <c r="K6" i="87" s="1"/>
  <c r="L68" i="87"/>
  <c r="L6" i="87" s="1"/>
  <c r="M68" i="87"/>
  <c r="M6" i="87" s="1"/>
  <c r="N68" i="87"/>
  <c r="N6" i="87" s="1"/>
  <c r="O68" i="87"/>
  <c r="O6" i="87" s="1"/>
  <c r="P68" i="87"/>
  <c r="P6" i="87" s="1"/>
  <c r="Q68" i="87"/>
  <c r="Q6" i="87" s="1"/>
  <c r="R68" i="87"/>
  <c r="R6" i="87" s="1"/>
  <c r="AB5" i="87"/>
  <c r="AB4" i="87" l="1"/>
  <c r="AB6" i="87" s="1"/>
  <c r="E15" i="87" l="1"/>
  <c r="F15" i="87"/>
  <c r="G15" i="87"/>
  <c r="H15" i="87"/>
  <c r="I15" i="87"/>
  <c r="J15" i="87"/>
  <c r="K15" i="87"/>
  <c r="L15" i="87"/>
  <c r="M15" i="87"/>
  <c r="N15" i="87"/>
  <c r="O15" i="87"/>
  <c r="P15" i="87"/>
  <c r="Q15" i="87"/>
  <c r="R15" i="87"/>
  <c r="S15" i="87"/>
  <c r="T15" i="87"/>
  <c r="U15" i="87"/>
  <c r="V15" i="87"/>
  <c r="W15" i="87"/>
  <c r="X15" i="87"/>
  <c r="Y15" i="87"/>
  <c r="Z15" i="87"/>
  <c r="AA15" i="87"/>
  <c r="AB15" i="87"/>
  <c r="AC15" i="87"/>
  <c r="D15" i="87"/>
  <c r="E7" i="87"/>
  <c r="F7" i="87"/>
  <c r="G7" i="87"/>
  <c r="H7" i="87"/>
  <c r="I7" i="87"/>
  <c r="J7" i="87"/>
  <c r="K7" i="87"/>
  <c r="L7" i="87"/>
  <c r="M7" i="87"/>
  <c r="N7" i="87"/>
  <c r="O7" i="87"/>
  <c r="P7" i="87"/>
  <c r="Q7" i="87"/>
  <c r="R7" i="87"/>
  <c r="S7" i="87"/>
  <c r="T7" i="87"/>
  <c r="U7" i="87"/>
  <c r="V7" i="87"/>
  <c r="W7" i="87"/>
  <c r="X7" i="87"/>
  <c r="Y7" i="87"/>
  <c r="Z7" i="87"/>
  <c r="AA7" i="87"/>
  <c r="AB7" i="87"/>
  <c r="AC7" i="87"/>
  <c r="E8" i="87"/>
  <c r="F8" i="87"/>
  <c r="G8" i="87"/>
  <c r="H8" i="87"/>
  <c r="I8" i="87"/>
  <c r="J8" i="87"/>
  <c r="K8" i="87"/>
  <c r="L8" i="87"/>
  <c r="M8" i="87"/>
  <c r="N8" i="87"/>
  <c r="O8" i="87"/>
  <c r="P8" i="87"/>
  <c r="Q8" i="87"/>
  <c r="R8" i="87"/>
  <c r="S8" i="87"/>
  <c r="T8" i="87"/>
  <c r="U8" i="87"/>
  <c r="V8" i="87"/>
  <c r="W8" i="87"/>
  <c r="X8" i="87"/>
  <c r="Y8" i="87"/>
  <c r="Z8" i="87"/>
  <c r="AA8" i="87"/>
  <c r="AB8" i="87"/>
  <c r="AC8" i="87"/>
  <c r="D8" i="87"/>
  <c r="D16" i="87"/>
  <c r="D69" i="87" s="1"/>
  <c r="E16" i="87"/>
  <c r="E94" i="87" s="1"/>
  <c r="F16" i="87"/>
  <c r="F94" i="87" s="1"/>
  <c r="G16" i="87"/>
  <c r="G94" i="87" s="1"/>
  <c r="H16" i="87"/>
  <c r="H69" i="87" s="1"/>
  <c r="I16" i="87"/>
  <c r="I94" i="87" s="1"/>
  <c r="J16" i="87"/>
  <c r="J94" i="87" s="1"/>
  <c r="K16" i="87"/>
  <c r="K69" i="87" s="1"/>
  <c r="L16" i="87"/>
  <c r="L69" i="87" s="1"/>
  <c r="M16" i="87"/>
  <c r="M94" i="87" s="1"/>
  <c r="N16" i="87"/>
  <c r="N94" i="87" s="1"/>
  <c r="O16" i="87"/>
  <c r="O69" i="87" s="1"/>
  <c r="P16" i="87"/>
  <c r="P69" i="87" s="1"/>
  <c r="Q16" i="87"/>
  <c r="Q94" i="87" s="1"/>
  <c r="R16" i="87"/>
  <c r="R94" i="87" s="1"/>
  <c r="S16" i="87"/>
  <c r="S69" i="87" s="1"/>
  <c r="T16" i="87"/>
  <c r="T94" i="87" s="1"/>
  <c r="U16" i="87"/>
  <c r="U94" i="87" s="1"/>
  <c r="V16" i="87"/>
  <c r="V94" i="87" s="1"/>
  <c r="W16" i="87"/>
  <c r="W69" i="87" s="1"/>
  <c r="X16" i="87"/>
  <c r="X69" i="87" s="1"/>
  <c r="Y16" i="87"/>
  <c r="Y94" i="87" s="1"/>
  <c r="Z16" i="87"/>
  <c r="Z94" i="87" s="1"/>
  <c r="AA16" i="87"/>
  <c r="AA94" i="87" s="1"/>
  <c r="AB16" i="87"/>
  <c r="AB94" i="87" s="1"/>
  <c r="AC16" i="87"/>
  <c r="AC94" i="87" s="1"/>
  <c r="D52" i="87"/>
  <c r="E52" i="87"/>
  <c r="F52" i="87"/>
  <c r="G52" i="87"/>
  <c r="H52" i="87"/>
  <c r="I52" i="87"/>
  <c r="J52" i="87"/>
  <c r="K52" i="87"/>
  <c r="L52" i="87"/>
  <c r="M52" i="87"/>
  <c r="N52" i="87"/>
  <c r="O52" i="87"/>
  <c r="P52" i="87"/>
  <c r="Q52" i="87"/>
  <c r="R52" i="87"/>
  <c r="S52" i="87"/>
  <c r="T52" i="87"/>
  <c r="U52" i="87"/>
  <c r="V52" i="87"/>
  <c r="W52" i="87"/>
  <c r="X52" i="87"/>
  <c r="Y52" i="87"/>
  <c r="Z52" i="87"/>
  <c r="AA52" i="87"/>
  <c r="AB52" i="87"/>
  <c r="AC52" i="87"/>
  <c r="R69" i="87" l="1"/>
  <c r="E69" i="87"/>
  <c r="J69" i="87"/>
  <c r="U69" i="87"/>
  <c r="Y69" i="87"/>
  <c r="G69" i="87"/>
  <c r="W94" i="87"/>
  <c r="D94" i="87"/>
  <c r="T69" i="87"/>
  <c r="Q69" i="87"/>
  <c r="P94" i="87"/>
  <c r="M69" i="87"/>
  <c r="AC69" i="87"/>
  <c r="I69" i="87"/>
  <c r="S94" i="87"/>
  <c r="AB69" i="87"/>
  <c r="AA69" i="87"/>
  <c r="O94" i="87"/>
  <c r="Z69" i="87"/>
  <c r="L94" i="87"/>
  <c r="K94" i="87"/>
  <c r="X94" i="87"/>
  <c r="H94" i="87"/>
  <c r="V69" i="87"/>
  <c r="N69" i="87"/>
  <c r="F69" i="87"/>
</calcChain>
</file>

<file path=xl/sharedStrings.xml><?xml version="1.0" encoding="utf-8"?>
<sst xmlns="http://schemas.openxmlformats.org/spreadsheetml/2006/main" count="666" uniqueCount="240">
  <si>
    <t xml:space="preserve">RVA </t>
  </si>
  <si>
    <t>2016</t>
  </si>
  <si>
    <t>2017</t>
  </si>
  <si>
    <t xml:space="preserve">Lopende Uitgaven </t>
  </si>
  <si>
    <t>WERK</t>
  </si>
  <si>
    <t>120</t>
  </si>
  <si>
    <t>200</t>
  </si>
  <si>
    <t>210</t>
  </si>
  <si>
    <t>220</t>
  </si>
  <si>
    <t>320</t>
  </si>
  <si>
    <t>101</t>
  </si>
  <si>
    <t>101.1</t>
  </si>
  <si>
    <t>101.2</t>
  </si>
  <si>
    <t>118 ONVERD.PREST</t>
  </si>
  <si>
    <t>102</t>
  </si>
  <si>
    <t>103</t>
  </si>
  <si>
    <t>104</t>
  </si>
  <si>
    <t>105</t>
  </si>
  <si>
    <t>106</t>
  </si>
  <si>
    <t>107</t>
  </si>
  <si>
    <t>100.1</t>
  </si>
  <si>
    <t>113</t>
  </si>
  <si>
    <t>114</t>
  </si>
  <si>
    <t>115</t>
  </si>
  <si>
    <t>116</t>
  </si>
  <si>
    <t>110.1</t>
  </si>
  <si>
    <t xml:space="preserve">Cotisations spécifiques </t>
  </si>
  <si>
    <t xml:space="preserve">Dans les prestations </t>
  </si>
  <si>
    <t xml:space="preserve">Comptes de Capital </t>
  </si>
  <si>
    <t xml:space="preserve">Dépenses Courantes </t>
  </si>
  <si>
    <t xml:space="preserve">Soins de santé </t>
  </si>
  <si>
    <t xml:space="preserve">Indemnités </t>
  </si>
  <si>
    <t xml:space="preserve">Mesures du Gouvernement </t>
  </si>
  <si>
    <t>101.10 REGERING</t>
  </si>
  <si>
    <t xml:space="preserve">Lopende Ontvangsten </t>
  </si>
  <si>
    <t xml:space="preserve">Specifieke bijdragen </t>
  </si>
  <si>
    <t>102.4</t>
  </si>
  <si>
    <t>2015</t>
  </si>
  <si>
    <t>duizendEUR</t>
  </si>
  <si>
    <t xml:space="preserve">Geneeskundige verzorging </t>
  </si>
  <si>
    <t xml:space="preserve">Uitkeringen </t>
  </si>
  <si>
    <t xml:space="preserve">Majorations et intérêts de retard </t>
  </si>
  <si>
    <t xml:space="preserve">Kapitaalrekeningen </t>
  </si>
  <si>
    <t>101.12 OPSLAGEN&amp;VERWIJL</t>
  </si>
  <si>
    <t>2019</t>
  </si>
  <si>
    <t>2018</t>
  </si>
  <si>
    <t xml:space="preserve">Entités fédérées </t>
  </si>
  <si>
    <t>102 EF</t>
  </si>
  <si>
    <t xml:space="preserve">Gefedereerde entiteiten </t>
  </si>
  <si>
    <t xml:space="preserve">Federale overheid </t>
  </si>
  <si>
    <t xml:space="preserve">Pouvoir fédéral </t>
  </si>
  <si>
    <t>102 PF</t>
  </si>
  <si>
    <t>ACTUEEL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</si>
  <si>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</si>
  <si>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</si>
  <si>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</si>
  <si>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</si>
  <si>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</si>
  <si>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</si>
  <si>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</si>
  <si>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</si>
  <si>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</si>
  <si>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</si>
  <si>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</si>
  <si>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</si>
  <si>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</si>
  <si>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 xml:space="preserve">Modération salariale </t>
  </si>
  <si>
    <t>101.3</t>
  </si>
  <si>
    <t>2000</t>
  </si>
  <si>
    <t>2001</t>
  </si>
  <si>
    <t xml:space="preserve">Regeringsmaatregelen </t>
  </si>
  <si>
    <t>2020</t>
  </si>
  <si>
    <t xml:space="preserve">Evenwichtsdotatie </t>
  </si>
  <si>
    <t xml:space="preserve">Dotation d'équilibre </t>
  </si>
  <si>
    <t>SUB.GES.GLOB</t>
  </si>
  <si>
    <t>SUB.GES.SPEC</t>
  </si>
  <si>
    <t xml:space="preserve">Globale staatstoelage </t>
  </si>
  <si>
    <t xml:space="preserve">Specifieke staatstoelage </t>
  </si>
  <si>
    <t xml:space="preserve">Mijnwerkers </t>
  </si>
  <si>
    <t xml:space="preserve">Mineurs </t>
  </si>
  <si>
    <t>2021</t>
  </si>
  <si>
    <t>2022</t>
  </si>
  <si>
    <t>2024</t>
  </si>
  <si>
    <t>2023</t>
  </si>
  <si>
    <t>2025</t>
  </si>
  <si>
    <t>MONITOR_03.2025</t>
  </si>
  <si>
    <t>GLOBAAL BEHEER</t>
  </si>
  <si>
    <t>Recettes Courantes</t>
  </si>
  <si>
    <t xml:space="preserve">Bijdragen </t>
  </si>
  <si>
    <t xml:space="preserve">Cotisations </t>
  </si>
  <si>
    <t xml:space="preserve">Opslagen en verwijlinteresten </t>
  </si>
  <si>
    <t xml:space="preserve">Toelagen van publieke overheden  </t>
  </si>
  <si>
    <t xml:space="preserve">Subventions des pouvoirs publics </t>
  </si>
  <si>
    <t xml:space="preserve">Alternatieve financiering </t>
  </si>
  <si>
    <t xml:space="preserve">Financement alternatif </t>
  </si>
  <si>
    <t xml:space="preserve">Toegewezen ontvangsten </t>
  </si>
  <si>
    <t xml:space="preserve">Recettes affectées </t>
  </si>
  <si>
    <t xml:space="preserve">Externe overdrachten </t>
  </si>
  <si>
    <t xml:space="preserve">Transferts externes </t>
  </si>
  <si>
    <t xml:space="preserve">Opbrengsten beleggingen </t>
  </si>
  <si>
    <t xml:space="preserve">Revenus de placements </t>
  </si>
  <si>
    <t xml:space="preserve">Diversen </t>
  </si>
  <si>
    <t xml:space="preserve">Divers </t>
  </si>
  <si>
    <t xml:space="preserve">Sociale fraude </t>
  </si>
  <si>
    <t xml:space="preserve">Fraude sociale </t>
  </si>
  <si>
    <t>109+109.BIS</t>
  </si>
  <si>
    <t xml:space="preserve">Totaal lopende ontvangsten </t>
  </si>
  <si>
    <t xml:space="preserve">Total recettes courantes </t>
  </si>
  <si>
    <t xml:space="preserve">Prestaties </t>
  </si>
  <si>
    <t xml:space="preserve">Prestations </t>
  </si>
  <si>
    <t>111</t>
  </si>
  <si>
    <t>111 GZ</t>
  </si>
  <si>
    <t>111 UI</t>
  </si>
  <si>
    <t xml:space="preserve">Pensioenen </t>
  </si>
  <si>
    <t xml:space="preserve">Pensions </t>
  </si>
  <si>
    <t>111 PE</t>
  </si>
  <si>
    <t xml:space="preserve">Gezinsbijslag </t>
  </si>
  <si>
    <t xml:space="preserve">Prestations familiales </t>
  </si>
  <si>
    <t>111 KB</t>
  </si>
  <si>
    <t xml:space="preserve">Arbeidsongevallen </t>
  </si>
  <si>
    <t xml:space="preserve">Accidents du travail </t>
  </si>
  <si>
    <t>111 AO</t>
  </si>
  <si>
    <t xml:space="preserve">Beroepsziekten </t>
  </si>
  <si>
    <t xml:space="preserve">Maladies professionnelles </t>
  </si>
  <si>
    <t>111 BZ</t>
  </si>
  <si>
    <t xml:space="preserve">ONEm </t>
  </si>
  <si>
    <t>111 RVA</t>
  </si>
  <si>
    <t>111 PM</t>
  </si>
  <si>
    <t xml:space="preserve">HVKZ </t>
  </si>
  <si>
    <t xml:space="preserve">CSPM </t>
  </si>
  <si>
    <t>111 HK</t>
  </si>
  <si>
    <t xml:space="preserve">Pool der Zeelieden </t>
  </si>
  <si>
    <t xml:space="preserve">Pool des Marins </t>
  </si>
  <si>
    <t>111 PZ</t>
  </si>
  <si>
    <t xml:space="preserve">Welvaartsenveloppe </t>
  </si>
  <si>
    <t xml:space="preserve">Betalingskosten </t>
  </si>
  <si>
    <t xml:space="preserve">Frais de paiement </t>
  </si>
  <si>
    <t>112</t>
  </si>
  <si>
    <t xml:space="preserve">Beheerskosten </t>
  </si>
  <si>
    <t xml:space="preserve">Frais d'administration </t>
  </si>
  <si>
    <t xml:space="preserve">Intresten op leningen </t>
  </si>
  <si>
    <t xml:space="preserve">Intérêts sur emprunts </t>
  </si>
  <si>
    <t xml:space="preserve">Totaal lopende uitgaven </t>
  </si>
  <si>
    <t xml:space="preserve">Total dépenses courantes </t>
  </si>
  <si>
    <t xml:space="preserve">Saldo lopende rekeningen </t>
  </si>
  <si>
    <t xml:space="preserve">Solde comptes courants </t>
  </si>
  <si>
    <t xml:space="preserve">Ontvangsten </t>
  </si>
  <si>
    <t xml:space="preserve">Recettes </t>
  </si>
  <si>
    <t xml:space="preserve">Uitgaven </t>
  </si>
  <si>
    <t xml:space="preserve">Dépenses </t>
  </si>
  <si>
    <t xml:space="preserve">Saldo kapitaalrekeningen </t>
  </si>
  <si>
    <t xml:space="preserve">Solde comptes de capital </t>
  </si>
  <si>
    <t xml:space="preserve">Resultaat </t>
  </si>
  <si>
    <t xml:space="preserve">Résultat </t>
  </si>
  <si>
    <t>-</t>
  </si>
  <si>
    <t xml:space="preserve">Enveloppe bien être </t>
  </si>
  <si>
    <t xml:space="preserve">EUROPEES RELANCEPLAN </t>
  </si>
  <si>
    <t xml:space="preserve">PLAN DE RELANCE EUROPEEN </t>
  </si>
  <si>
    <t>108 RELANCE.EUROP</t>
  </si>
  <si>
    <t xml:space="preserve">BTW </t>
  </si>
  <si>
    <t xml:space="preserve">TVA </t>
  </si>
  <si>
    <t>TVA + ART.24§1QUATER</t>
  </si>
  <si>
    <t>TVA-BASIS</t>
  </si>
  <si>
    <t>ART.24§1QUATER</t>
  </si>
  <si>
    <t xml:space="preserve">Roerende voorheffing </t>
  </si>
  <si>
    <t xml:space="preserve">Précompte mobilier </t>
  </si>
  <si>
    <t>RV</t>
  </si>
  <si>
    <t>RV-BASIS</t>
  </si>
  <si>
    <t xml:space="preserve">Stock options </t>
  </si>
  <si>
    <t xml:space="preserve">Stock options  </t>
  </si>
  <si>
    <t>STOCK.OPTIONS</t>
  </si>
  <si>
    <t xml:space="preserve">Accijnzen tabak </t>
  </si>
  <si>
    <t xml:space="preserve">Accises tabac </t>
  </si>
  <si>
    <t>RA.ACC.TAB</t>
  </si>
  <si>
    <t xml:space="preserve">Andere </t>
  </si>
  <si>
    <t xml:space="preserve">Autres </t>
  </si>
  <si>
    <t>TVA-TAXSHIFT</t>
  </si>
  <si>
    <t>RV-TAXSHIFT</t>
  </si>
  <si>
    <t xml:space="preserve">Belasting op werknemersparticipatie </t>
  </si>
  <si>
    <t xml:space="preserve">Impôts sur la participation des employés </t>
  </si>
  <si>
    <t>PARTICIP.BEN</t>
  </si>
  <si>
    <t xml:space="preserve">Personenbelasting en vennootschapsbelasting </t>
  </si>
  <si>
    <t xml:space="preserve">Impôt des personnes physiques et impôt des sociétés </t>
  </si>
  <si>
    <t>IPP&amp;ISOC</t>
  </si>
  <si>
    <t xml:space="preserve">Ziekenhuizen (PVT inbegrepen) </t>
  </si>
  <si>
    <t xml:space="preserve">Hôpitaux (y compris MSP) </t>
  </si>
  <si>
    <t>INDIRECT</t>
  </si>
  <si>
    <t xml:space="preserve">Fonds bestrijding tabaksgebruik </t>
  </si>
  <si>
    <t xml:space="preserve">Fonds lutte tabagisme </t>
  </si>
  <si>
    <t>TABAGISME</t>
  </si>
  <si>
    <t xml:space="preserve">Inhaalbedragen ziekenhuizen </t>
  </si>
  <si>
    <t xml:space="preserve">Montants de rattrapage hôpitaux </t>
  </si>
  <si>
    <t>ACC.RATT.HOP</t>
  </si>
  <si>
    <t xml:space="preserve">Basisbedrag (vanaf 2017) </t>
  </si>
  <si>
    <t xml:space="preserve">Taxshift (2017-2020) </t>
  </si>
  <si>
    <t xml:space="preserve">Basisbedrag (vanaf 2006) </t>
  </si>
  <si>
    <t xml:space="preserve">Montant de base (à partir de 2006) </t>
  </si>
  <si>
    <t xml:space="preserve">Montant de base (à partir de 2017) </t>
  </si>
  <si>
    <t>102.3</t>
  </si>
  <si>
    <t>102.2</t>
  </si>
  <si>
    <t xml:space="preserve">In de lasten van leningen </t>
  </si>
  <si>
    <t xml:space="preserve">Dans les charges d'emprunts </t>
  </si>
  <si>
    <t xml:space="preserve">Bijzondere bijdrage sociale zekerheid </t>
  </si>
  <si>
    <t xml:space="preserve">Cotisation spéciale de sécurité sociale </t>
  </si>
  <si>
    <t>BIJZ.BIJ</t>
  </si>
  <si>
    <t xml:space="preserve">RSZ </t>
  </si>
  <si>
    <t xml:space="preserve">ONSS </t>
  </si>
  <si>
    <t>BIJZ.BIJ.RSZ</t>
  </si>
  <si>
    <t xml:space="preserve">RSZPPO </t>
  </si>
  <si>
    <t xml:space="preserve">ONSSAPL </t>
  </si>
  <si>
    <t>BIJZ.BIJ.PPO</t>
  </si>
  <si>
    <t xml:space="preserve">Saldo Financiën </t>
  </si>
  <si>
    <t xml:space="preserve">Solde Finances </t>
  </si>
  <si>
    <t>BIJZ.BIJ.SALDO</t>
  </si>
  <si>
    <t xml:space="preserve">Bedrijfsvoorheffing Maribelfondsen </t>
  </si>
  <si>
    <t xml:space="preserve">Précompte professionnel Maribel social </t>
  </si>
  <si>
    <t>RA.MARI.FNDS.RV</t>
  </si>
  <si>
    <t>114.2 RIZIV.GZ</t>
  </si>
  <si>
    <t>114.0 ANDERE_STELSEL - RIZIV</t>
  </si>
  <si>
    <t>114.1 ANDERE</t>
  </si>
  <si>
    <t xml:space="preserve">Naar RIZIV-Geneeskundige verzorging </t>
  </si>
  <si>
    <t xml:space="preserve">Naar andere stelsels </t>
  </si>
  <si>
    <t xml:space="preserve">Vers l'INAMI-Soins de santé </t>
  </si>
  <si>
    <t xml:space="preserve">Vers d'autres régimes </t>
  </si>
  <si>
    <t xml:space="preserve">Gewone bijdragen (*) </t>
  </si>
  <si>
    <t xml:space="preserve">Loonmatiging </t>
  </si>
  <si>
    <t xml:space="preserve">Cotisations ordinaires (*) </t>
  </si>
  <si>
    <t>(*) A partir de 2006, y compris la modération salariale.</t>
  </si>
  <si>
    <t>(*) Vanaf 2006, de loonmatiging inbegrepen.</t>
  </si>
  <si>
    <t>Werknemers  -  2000-2025 (duizend euro) (2000-2007: inclusief Geneeskundige verzorging)</t>
  </si>
  <si>
    <t xml:space="preserve">Werknemers  -  2000-2025 (duizend euro) (2000-2007: inclusief Geneeskundige verzorging) (vervolg) </t>
  </si>
  <si>
    <t xml:space="preserve">Salariés  -  2000-2025 (milliers d'euros) (2000-2007: Soins de santé inclus) </t>
  </si>
  <si>
    <t xml:space="preserve">Salariés  -  2000-2025 (milliers d'euros) (2000-2007: Soins de santé inclus) (suite) </t>
  </si>
  <si>
    <t>bijdragen / prestaties</t>
  </si>
  <si>
    <t>bijdragen / uitgaven</t>
  </si>
  <si>
    <t>bijdragen / prestaties (incl. riziv)</t>
  </si>
  <si>
    <t>correctie kinderbijslag</t>
  </si>
  <si>
    <t>Overige financiering</t>
  </si>
  <si>
    <t>Andere uit alternatieve financiering</t>
  </si>
  <si>
    <t>2000-2024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</si>
</sst>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&quot;€&quot;_-;\-* #,##0.00\ &quot;€&quot;_-;_-* &quot;-&quot;??\ &quot;€&quot;_-;_-@_-"/>
    <numFmt numFmtId="165" formatCode="#,##0_)"/>
    <numFmt numFmtId="166" formatCode="0.0"/>
  </numFmts>
  <fonts count="46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2"/>
      <name val="Courier"/>
      <family val="3"/>
    </font>
    <font>
      <b/>
      <sz val="11"/>
      <color indexed="63"/>
      <name val="Calibri"/>
      <family val="2"/>
    </font>
    <font>
      <sz val="10"/>
      <color rgb="FF333399"/>
      <name val="Arial"/>
      <family val="2"/>
    </font>
    <font>
      <b/>
      <sz val="10"/>
      <color rgb="FF333399"/>
      <name val="Arial"/>
      <family val="2"/>
    </font>
    <font>
      <b/>
      <sz val="10"/>
      <color rgb="FFFF0000"/>
      <name val="Arial"/>
      <family val="2"/>
    </font>
    <font>
      <b/>
      <u/>
      <sz val="10"/>
      <color rgb="FF333399"/>
      <name val="Arial"/>
      <family val="2"/>
    </font>
    <font>
      <sz val="10"/>
      <color rgb="FFFF0000"/>
      <name val="Arial"/>
      <family val="2"/>
    </font>
    <font>
      <b/>
      <sz val="12"/>
      <color rgb="FF333399"/>
      <name val="Arial"/>
      <family val="2"/>
    </font>
    <font>
      <b/>
      <i/>
      <sz val="11"/>
      <color rgb="FFFF0000"/>
      <name val="Arial"/>
      <family val="2"/>
    </font>
    <font>
      <b/>
      <i/>
      <sz val="14"/>
      <color rgb="FF333399"/>
      <name val="Arial"/>
      <family val="2"/>
    </font>
    <font>
      <sz val="14"/>
      <color rgb="FF333399"/>
      <name val="Arial"/>
      <family val="2"/>
    </font>
    <font>
      <b/>
      <i/>
      <sz val="9"/>
      <color rgb="FF333399"/>
      <name val="Arial"/>
      <family val="2"/>
    </font>
    <font>
      <b/>
      <i/>
      <sz val="9"/>
      <color rgb="FFFF0000"/>
      <name val="Arial"/>
      <family val="2"/>
    </font>
    <font>
      <sz val="9"/>
      <color rgb="FF333399"/>
      <name val="Arial"/>
      <family val="2"/>
    </font>
    <font>
      <b/>
      <i/>
      <sz val="11"/>
      <color rgb="FF333399"/>
      <name val="Arial"/>
      <family val="2"/>
    </font>
    <font>
      <b/>
      <i/>
      <sz val="12"/>
      <color rgb="FFFF0000"/>
      <name val="Arial"/>
      <family val="2"/>
    </font>
    <font>
      <b/>
      <sz val="9"/>
      <color rgb="FFFF0000"/>
      <name val="Arial"/>
      <family val="2"/>
    </font>
    <font>
      <b/>
      <sz val="9"/>
      <color rgb="FF333399"/>
      <name val="Arial"/>
      <family val="2"/>
    </font>
    <font>
      <sz val="9"/>
      <color rgb="FFFF0000"/>
      <name val="Arial"/>
      <family val="2"/>
    </font>
    <font>
      <b/>
      <u/>
      <sz val="9"/>
      <color rgb="FF333399"/>
      <name val="Arial"/>
      <family val="2"/>
    </font>
    <font>
      <b/>
      <i/>
      <sz val="14"/>
      <color rgb="FFFF0000"/>
      <name val="Arial"/>
      <family val="2"/>
    </font>
    <font>
      <sz val="10"/>
      <color indexed="62"/>
      <name val="Arial"/>
      <family val="2"/>
    </font>
    <font>
      <i/>
      <sz val="10"/>
      <color rgb="FF800080"/>
      <name val="Arial"/>
      <family val="2"/>
    </font>
    <font>
      <i/>
      <sz val="9"/>
      <color rgb="FF800080"/>
      <name val="Arial"/>
      <family val="2"/>
    </font>
    <font>
      <sz val="9"/>
      <color rgb="FF800080"/>
      <name val="Arial"/>
      <family val="2"/>
    </font>
    <font>
      <sz val="10"/>
      <color rgb="FF80008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i/>
      <sz val="12"/>
      <name val="Arial"/>
      <family val="2"/>
    </font>
    <font>
      <b/>
      <i/>
      <sz val="10"/>
      <color rgb="FF333399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64"/>
      </patternFill>
    </fill>
  </fills>
  <borders count="2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65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5" fillId="0" borderId="0" applyNumberFormat="0" applyFill="0" applyBorder="0" applyAlignment="0" applyProtection="0"/>
    <xf numFmtId="0" fontId="6" fillId="3" borderId="0" applyNumberFormat="0" applyBorder="0" applyAlignment="0" applyProtection="0"/>
    <xf numFmtId="0" fontId="7" fillId="0" borderId="2" applyNumberFormat="0" applyFill="0" applyAlignment="0" applyProtection="0"/>
    <xf numFmtId="0" fontId="8" fillId="21" borderId="3" applyNumberFormat="0" applyAlignment="0" applyProtection="0"/>
    <xf numFmtId="0" fontId="1" fillId="22" borderId="4" applyNumberFormat="0" applyFont="0" applyAlignment="0" applyProtection="0"/>
    <xf numFmtId="0" fontId="9" fillId="7" borderId="1" applyNumberFormat="0" applyAlignment="0" applyProtection="0"/>
    <xf numFmtId="164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5" applyNumberFormat="0" applyFill="0" applyAlignment="0" applyProtection="0"/>
    <xf numFmtId="0" fontId="12" fillId="0" borderId="6" applyNumberFormat="0" applyFill="0" applyAlignment="0" applyProtection="0"/>
    <xf numFmtId="0" fontId="13" fillId="0" borderId="7" applyNumberFormat="0" applyFill="0" applyAlignment="0" applyProtection="0"/>
    <xf numFmtId="0" fontId="13" fillId="0" borderId="0" applyNumberFormat="0" applyFill="0" applyBorder="0" applyAlignment="0" applyProtection="0"/>
    <xf numFmtId="0" fontId="9" fillId="7" borderId="1" applyNumberFormat="0" applyAlignment="0" applyProtection="0"/>
    <xf numFmtId="0" fontId="6" fillId="3" borderId="0" applyNumberFormat="0" applyBorder="0" applyAlignment="0" applyProtection="0"/>
    <xf numFmtId="0" fontId="9" fillId="7" borderId="1" applyNumberFormat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2" fillId="0" borderId="0"/>
    <xf numFmtId="0" fontId="2" fillId="0" borderId="0"/>
    <xf numFmtId="0" fontId="2" fillId="0" borderId="0"/>
    <xf numFmtId="0" fontId="14" fillId="22" borderId="4" applyNumberFormat="0" applyFont="0" applyAlignment="0" applyProtection="0"/>
    <xf numFmtId="0" fontId="1" fillId="22" borderId="4" applyNumberFormat="0" applyFont="0" applyAlignment="0" applyProtection="0"/>
    <xf numFmtId="0" fontId="6" fillId="3" borderId="0" applyNumberFormat="0" applyBorder="0" applyAlignment="0" applyProtection="0"/>
    <xf numFmtId="0" fontId="15" fillId="20" borderId="8" applyNumberFormat="0" applyAlignment="0" applyProtection="0"/>
    <xf numFmtId="0" fontId="15" fillId="20" borderId="8" applyNumberFormat="0" applyAlignment="0" applyProtection="0"/>
    <xf numFmtId="0" fontId="2" fillId="0" borderId="0"/>
    <xf numFmtId="0" fontId="10" fillId="0" borderId="0" applyNumberFormat="0" applyFill="0" applyBorder="0" applyAlignment="0" applyProtection="0"/>
    <xf numFmtId="0" fontId="15" fillId="20" borderId="8" applyNumberFormat="0" applyAlignment="0" applyProtection="0"/>
    <xf numFmtId="0" fontId="10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40" fillId="0" borderId="0" applyFont="0" applyFill="0" applyBorder="0" applyAlignment="0" applyProtection="0"/>
  </cellStyleXfs>
  <cellXfs count="127">
    <xf numFmtId="0" fontId="0" fillId="0" borderId="0" xfId="0"/>
    <xf numFmtId="0" fontId="21" fillId="0" borderId="0" xfId="61" quotePrefix="1" applyFont="1" applyAlignment="1">
      <alignment horizontal="left" indent="1"/>
    </xf>
    <xf numFmtId="0" fontId="22" fillId="0" borderId="0" xfId="61" applyFont="1" applyAlignment="1">
      <alignment vertical="center"/>
    </xf>
    <xf numFmtId="0" fontId="23" fillId="0" borderId="0" xfId="61" applyFont="1" applyAlignment="1">
      <alignment horizontal="center" vertical="top"/>
    </xf>
    <xf numFmtId="165" fontId="23" fillId="0" borderId="0" xfId="61" applyNumberFormat="1" applyFont="1" applyAlignment="1">
      <alignment horizontal="center" vertical="top"/>
    </xf>
    <xf numFmtId="0" fontId="16" fillId="0" borderId="0" xfId="62" applyFont="1"/>
    <xf numFmtId="0" fontId="24" fillId="0" borderId="0" xfId="61" applyFont="1" applyAlignment="1">
      <alignment vertical="top"/>
    </xf>
    <xf numFmtId="0" fontId="25" fillId="0" borderId="0" xfId="61" applyFont="1" applyAlignment="1">
      <alignment horizontal="right" vertical="center"/>
    </xf>
    <xf numFmtId="0" fontId="26" fillId="0" borderId="0" xfId="61" applyFont="1" applyAlignment="1">
      <alignment vertical="center"/>
    </xf>
    <xf numFmtId="165" fontId="25" fillId="0" borderId="0" xfId="61" applyNumberFormat="1" applyFont="1" applyAlignment="1">
      <alignment horizontal="center" vertical="top"/>
    </xf>
    <xf numFmtId="165" fontId="25" fillId="23" borderId="0" xfId="61" applyNumberFormat="1" applyFont="1" applyFill="1" applyAlignment="1">
      <alignment horizontal="center" vertical="top"/>
    </xf>
    <xf numFmtId="0" fontId="27" fillId="0" borderId="0" xfId="62" applyFont="1"/>
    <xf numFmtId="0" fontId="27" fillId="0" borderId="0" xfId="61" applyFont="1" applyAlignment="1">
      <alignment vertical="top"/>
    </xf>
    <xf numFmtId="0" fontId="20" fillId="0" borderId="0" xfId="61" applyFont="1" applyAlignment="1">
      <alignment horizontal="left" indent="1"/>
    </xf>
    <xf numFmtId="0" fontId="20" fillId="0" borderId="0" xfId="61" applyFont="1"/>
    <xf numFmtId="0" fontId="20" fillId="0" borderId="0" xfId="61" quotePrefix="1" applyFont="1"/>
    <xf numFmtId="0" fontId="20" fillId="0" borderId="0" xfId="62" applyFont="1"/>
    <xf numFmtId="0" fontId="28" fillId="0" borderId="20" xfId="61" quotePrefix="1" applyFont="1" applyBorder="1" applyAlignment="1">
      <alignment horizontal="left" vertical="center" indent="1"/>
    </xf>
    <xf numFmtId="0" fontId="29" fillId="0" borderId="13" xfId="61" applyFont="1" applyBorder="1" applyAlignment="1">
      <alignment vertical="center"/>
    </xf>
    <xf numFmtId="0" fontId="17" fillId="0" borderId="14" xfId="61" quotePrefix="1" applyFont="1" applyBorder="1" applyAlignment="1">
      <alignment horizontal="center" vertical="center"/>
    </xf>
    <xf numFmtId="0" fontId="16" fillId="0" borderId="0" xfId="61" applyFont="1" applyAlignment="1">
      <alignment vertical="center"/>
    </xf>
    <xf numFmtId="166" fontId="17" fillId="0" borderId="21" xfId="61" quotePrefix="1" applyNumberFormat="1" applyFont="1" applyBorder="1" applyAlignment="1">
      <alignment horizontal="left" indent="1"/>
    </xf>
    <xf numFmtId="0" fontId="30" fillId="0" borderId="11" xfId="61" quotePrefix="1" applyFont="1" applyBorder="1"/>
    <xf numFmtId="165" fontId="17" fillId="0" borderId="11" xfId="61" applyNumberFormat="1" applyFont="1" applyBorder="1" applyAlignment="1">
      <alignment horizontal="right"/>
    </xf>
    <xf numFmtId="0" fontId="17" fillId="0" borderId="0" xfId="62" applyFont="1"/>
    <xf numFmtId="0" fontId="31" fillId="0" borderId="0" xfId="61" applyFont="1"/>
    <xf numFmtId="166" fontId="16" fillId="0" borderId="10" xfId="61" quotePrefix="1" applyNumberFormat="1" applyFont="1" applyBorder="1" applyAlignment="1">
      <alignment horizontal="left" indent="2"/>
    </xf>
    <xf numFmtId="0" fontId="32" fillId="0" borderId="0" xfId="61" quotePrefix="1" applyFont="1"/>
    <xf numFmtId="165" fontId="16" fillId="0" borderId="0" xfId="61" applyNumberFormat="1" applyFont="1" applyAlignment="1">
      <alignment horizontal="right"/>
    </xf>
    <xf numFmtId="0" fontId="27" fillId="0" borderId="0" xfId="61" applyFont="1"/>
    <xf numFmtId="166" fontId="17" fillId="0" borderId="10" xfId="61" quotePrefix="1" applyNumberFormat="1" applyFont="1" applyBorder="1" applyAlignment="1">
      <alignment horizontal="left" indent="1"/>
    </xf>
    <xf numFmtId="0" fontId="30" fillId="0" borderId="0" xfId="61" quotePrefix="1" applyFont="1"/>
    <xf numFmtId="165" fontId="17" fillId="0" borderId="0" xfId="61" applyNumberFormat="1" applyFont="1" applyAlignment="1">
      <alignment horizontal="right"/>
    </xf>
    <xf numFmtId="165" fontId="17" fillId="23" borderId="0" xfId="61" applyNumberFormat="1" applyFont="1" applyFill="1" applyAlignment="1">
      <alignment horizontal="right"/>
    </xf>
    <xf numFmtId="165" fontId="16" fillId="23" borderId="0" xfId="61" applyNumberFormat="1" applyFont="1" applyFill="1" applyAlignment="1">
      <alignment horizontal="right"/>
    </xf>
    <xf numFmtId="166" fontId="17" fillId="0" borderId="10" xfId="61" quotePrefix="1" applyNumberFormat="1" applyFont="1" applyBorder="1" applyAlignment="1">
      <alignment horizontal="left" vertical="center" indent="1"/>
    </xf>
    <xf numFmtId="0" fontId="30" fillId="0" borderId="0" xfId="61" quotePrefix="1" applyFont="1" applyAlignment="1">
      <alignment vertical="center"/>
    </xf>
    <xf numFmtId="165" fontId="17" fillId="0" borderId="0" xfId="61" applyNumberFormat="1" applyFont="1" applyAlignment="1">
      <alignment horizontal="right" vertical="center"/>
    </xf>
    <xf numFmtId="0" fontId="17" fillId="0" borderId="0" xfId="62" applyFont="1" applyAlignment="1">
      <alignment vertical="center"/>
    </xf>
    <xf numFmtId="0" fontId="31" fillId="0" borderId="0" xfId="61" applyFont="1" applyAlignment="1">
      <alignment vertical="center"/>
    </xf>
    <xf numFmtId="166" fontId="17" fillId="0" borderId="15" xfId="61" quotePrefix="1" applyNumberFormat="1" applyFont="1" applyBorder="1" applyAlignment="1">
      <alignment horizontal="left" vertical="center" indent="1"/>
    </xf>
    <xf numFmtId="0" fontId="30" fillId="0" borderId="16" xfId="61" quotePrefix="1" applyFont="1" applyBorder="1" applyAlignment="1">
      <alignment vertical="center"/>
    </xf>
    <xf numFmtId="165" fontId="17" fillId="0" borderId="16" xfId="61" applyNumberFormat="1" applyFont="1" applyBorder="1" applyAlignment="1">
      <alignment horizontal="right" vertical="center"/>
    </xf>
    <xf numFmtId="0" fontId="16" fillId="0" borderId="0" xfId="62" applyFont="1" applyAlignment="1">
      <alignment vertical="center"/>
    </xf>
    <xf numFmtId="166" fontId="27" fillId="0" borderId="0" xfId="61" quotePrefix="1" applyNumberFormat="1" applyFont="1" applyAlignment="1">
      <alignment horizontal="left" vertical="center" indent="1"/>
    </xf>
    <xf numFmtId="0" fontId="27" fillId="0" borderId="0" xfId="61" applyFont="1" applyAlignment="1">
      <alignment vertical="center"/>
    </xf>
    <xf numFmtId="0" fontId="32" fillId="0" borderId="0" xfId="61" applyFont="1" applyAlignment="1">
      <alignment vertical="center"/>
    </xf>
    <xf numFmtId="165" fontId="33" fillId="0" borderId="0" xfId="61" quotePrefix="1" applyNumberFormat="1" applyFont="1" applyAlignment="1">
      <alignment horizontal="right" vertical="center"/>
    </xf>
    <xf numFmtId="0" fontId="34" fillId="0" borderId="0" xfId="61" applyFont="1" applyAlignment="1">
      <alignment vertical="center"/>
    </xf>
    <xf numFmtId="0" fontId="24" fillId="0" borderId="0" xfId="62" applyFont="1"/>
    <xf numFmtId="0" fontId="28" fillId="0" borderId="19" xfId="61" applyFont="1" applyBorder="1" applyAlignment="1">
      <alignment vertical="center"/>
    </xf>
    <xf numFmtId="0" fontId="28" fillId="0" borderId="19" xfId="61" applyFont="1" applyBorder="1" applyAlignment="1">
      <alignment horizontal="right" vertical="center"/>
    </xf>
    <xf numFmtId="0" fontId="22" fillId="0" borderId="19" xfId="61" applyFont="1" applyBorder="1" applyAlignment="1">
      <alignment vertical="center"/>
    </xf>
    <xf numFmtId="0" fontId="29" fillId="0" borderId="14" xfId="61" applyFont="1" applyBorder="1" applyAlignment="1">
      <alignment vertical="center"/>
    </xf>
    <xf numFmtId="166" fontId="17" fillId="0" borderId="0" xfId="61" applyNumberFormat="1" applyFont="1" applyAlignment="1">
      <alignment horizontal="left" vertical="center" indent="1"/>
    </xf>
    <xf numFmtId="0" fontId="18" fillId="0" borderId="0" xfId="61" applyFont="1" applyAlignment="1">
      <alignment vertical="center"/>
    </xf>
    <xf numFmtId="165" fontId="17" fillId="0" borderId="0" xfId="61" quotePrefix="1" applyNumberFormat="1" applyFont="1" applyAlignment="1">
      <alignment horizontal="right" vertical="center"/>
    </xf>
    <xf numFmtId="166" fontId="17" fillId="0" borderId="17" xfId="61" quotePrefix="1" applyNumberFormat="1" applyFont="1" applyBorder="1" applyAlignment="1">
      <alignment horizontal="left" vertical="center" indent="1"/>
    </xf>
    <xf numFmtId="0" fontId="30" fillId="0" borderId="18" xfId="61" quotePrefix="1" applyFont="1" applyBorder="1" applyAlignment="1">
      <alignment vertical="center"/>
    </xf>
    <xf numFmtId="165" fontId="17" fillId="0" borderId="18" xfId="61" applyNumberFormat="1" applyFont="1" applyBorder="1" applyAlignment="1">
      <alignment horizontal="right" vertical="center"/>
    </xf>
    <xf numFmtId="166" fontId="17" fillId="0" borderId="18" xfId="61" applyNumberFormat="1" applyFont="1" applyBorder="1" applyAlignment="1">
      <alignment horizontal="left" vertical="center" indent="1"/>
    </xf>
    <xf numFmtId="0" fontId="16" fillId="0" borderId="18" xfId="61" applyFont="1" applyBorder="1" applyAlignment="1">
      <alignment horizontal="left" vertical="center" indent="1"/>
    </xf>
    <xf numFmtId="0" fontId="20" fillId="0" borderId="18" xfId="61" applyFont="1" applyBorder="1" applyAlignment="1">
      <alignment vertical="center"/>
    </xf>
    <xf numFmtId="165" fontId="19" fillId="0" borderId="18" xfId="61" quotePrefix="1" applyNumberFormat="1" applyFont="1" applyBorder="1" applyAlignment="1">
      <alignment horizontal="right" vertical="center"/>
    </xf>
    <xf numFmtId="0" fontId="17" fillId="0" borderId="10" xfId="61" quotePrefix="1" applyFont="1" applyBorder="1" applyAlignment="1">
      <alignment horizontal="left" indent="1"/>
    </xf>
    <xf numFmtId="0" fontId="18" fillId="0" borderId="9" xfId="61" quotePrefix="1" applyFont="1" applyBorder="1"/>
    <xf numFmtId="165" fontId="17" fillId="0" borderId="0" xfId="61" applyNumberFormat="1" applyFont="1"/>
    <xf numFmtId="0" fontId="17" fillId="0" borderId="10" xfId="61" quotePrefix="1" applyFont="1" applyBorder="1" applyAlignment="1">
      <alignment horizontal="left" vertical="center" indent="1"/>
    </xf>
    <xf numFmtId="0" fontId="18" fillId="0" borderId="9" xfId="61" quotePrefix="1" applyFont="1" applyBorder="1" applyAlignment="1">
      <alignment vertical="center"/>
    </xf>
    <xf numFmtId="165" fontId="17" fillId="0" borderId="0" xfId="61" applyNumberFormat="1" applyFont="1" applyAlignment="1">
      <alignment vertical="center"/>
    </xf>
    <xf numFmtId="0" fontId="17" fillId="0" borderId="17" xfId="61" quotePrefix="1" applyFont="1" applyBorder="1" applyAlignment="1">
      <alignment horizontal="left" vertical="center" wrapText="1" indent="1"/>
    </xf>
    <xf numFmtId="0" fontId="18" fillId="0" borderId="12" xfId="61" quotePrefix="1" applyFont="1" applyBorder="1" applyAlignment="1">
      <alignment vertical="center"/>
    </xf>
    <xf numFmtId="165" fontId="17" fillId="0" borderId="18" xfId="61" applyNumberFormat="1" applyFont="1" applyBorder="1" applyAlignment="1">
      <alignment vertical="center"/>
    </xf>
    <xf numFmtId="0" fontId="16" fillId="0" borderId="0" xfId="61" applyFont="1" applyAlignment="1">
      <alignment horizontal="left" indent="1"/>
    </xf>
    <xf numFmtId="0" fontId="16" fillId="0" borderId="0" xfId="61" applyFont="1"/>
    <xf numFmtId="0" fontId="17" fillId="0" borderId="17" xfId="61" quotePrefix="1" applyFont="1" applyBorder="1" applyAlignment="1">
      <alignment horizontal="left" vertical="center" indent="1"/>
    </xf>
    <xf numFmtId="165" fontId="16" fillId="0" borderId="0" xfId="62" applyNumberFormat="1" applyFont="1"/>
    <xf numFmtId="166" fontId="16" fillId="0" borderId="9" xfId="61" quotePrefix="1" applyNumberFormat="1" applyFont="1" applyBorder="1" applyAlignment="1">
      <alignment horizontal="left" indent="2"/>
    </xf>
    <xf numFmtId="0" fontId="32" fillId="0" borderId="22" xfId="61" quotePrefix="1" applyFont="1" applyBorder="1"/>
    <xf numFmtId="0" fontId="35" fillId="24" borderId="10" xfId="0" quotePrefix="1" applyFont="1" applyFill="1" applyBorder="1" applyAlignment="1">
      <alignment horizontal="left" indent="2"/>
    </xf>
    <xf numFmtId="2" fontId="35" fillId="24" borderId="9" xfId="0" quotePrefix="1" applyNumberFormat="1" applyFont="1" applyFill="1" applyBorder="1"/>
    <xf numFmtId="165" fontId="35" fillId="23" borderId="0" xfId="0" applyNumberFormat="1" applyFont="1" applyFill="1" applyAlignment="1">
      <alignment horizontal="right"/>
    </xf>
    <xf numFmtId="0" fontId="35" fillId="24" borderId="0" xfId="0" applyFont="1" applyFill="1"/>
    <xf numFmtId="0" fontId="36" fillId="24" borderId="10" xfId="0" quotePrefix="1" applyFont="1" applyFill="1" applyBorder="1" applyAlignment="1">
      <alignment horizontal="left" indent="3"/>
    </xf>
    <xf numFmtId="2" fontId="36" fillId="24" borderId="9" xfId="0" quotePrefix="1" applyNumberFormat="1" applyFont="1" applyFill="1" applyBorder="1"/>
    <xf numFmtId="165" fontId="36" fillId="23" borderId="0" xfId="0" applyNumberFormat="1" applyFont="1" applyFill="1" applyAlignment="1">
      <alignment horizontal="right"/>
    </xf>
    <xf numFmtId="0" fontId="36" fillId="24" borderId="0" xfId="0" applyFont="1" applyFill="1"/>
    <xf numFmtId="166" fontId="36" fillId="0" borderId="10" xfId="61" quotePrefix="1" applyNumberFormat="1" applyFont="1" applyBorder="1" applyAlignment="1">
      <alignment horizontal="left" indent="3"/>
    </xf>
    <xf numFmtId="0" fontId="37" fillId="0" borderId="0" xfId="61" quotePrefix="1" applyFont="1"/>
    <xf numFmtId="165" fontId="36" fillId="0" borderId="0" xfId="61" applyNumberFormat="1" applyFont="1" applyAlignment="1">
      <alignment horizontal="right"/>
    </xf>
    <xf numFmtId="0" fontId="36" fillId="0" borderId="0" xfId="62" applyFont="1"/>
    <xf numFmtId="0" fontId="37" fillId="0" borderId="0" xfId="61" applyFont="1"/>
    <xf numFmtId="166" fontId="36" fillId="24" borderId="10" xfId="63" quotePrefix="1" applyNumberFormat="1" applyFont="1" applyFill="1" applyBorder="1" applyAlignment="1">
      <alignment horizontal="left" indent="3"/>
    </xf>
    <xf numFmtId="166" fontId="36" fillId="24" borderId="9" xfId="63" quotePrefix="1" applyNumberFormat="1" applyFont="1" applyFill="1" applyBorder="1" applyAlignment="1">
      <alignment horizontal="left" indent="3"/>
    </xf>
    <xf numFmtId="0" fontId="38" fillId="0" borderId="0" xfId="61" quotePrefix="1" applyFont="1"/>
    <xf numFmtId="165" fontId="39" fillId="0" borderId="0" xfId="61" applyNumberFormat="1" applyFont="1" applyAlignment="1">
      <alignment horizontal="right"/>
    </xf>
    <xf numFmtId="165" fontId="39" fillId="23" borderId="0" xfId="61" applyNumberFormat="1" applyFont="1" applyFill="1" applyAlignment="1">
      <alignment horizontal="right"/>
    </xf>
    <xf numFmtId="0" fontId="39" fillId="0" borderId="0" xfId="62" applyFont="1"/>
    <xf numFmtId="0" fontId="38" fillId="0" borderId="0" xfId="61" applyFont="1"/>
    <xf numFmtId="165" fontId="36" fillId="23" borderId="0" xfId="61" applyNumberFormat="1" applyFont="1" applyFill="1" applyAlignment="1">
      <alignment horizontal="right"/>
    </xf>
    <xf numFmtId="0" fontId="39" fillId="24" borderId="22" xfId="61" quotePrefix="1" applyFont="1" applyFill="1" applyBorder="1"/>
    <xf numFmtId="0" fontId="37" fillId="24" borderId="0" xfId="63" quotePrefix="1" applyFont="1" applyFill="1"/>
    <xf numFmtId="165" fontId="36" fillId="24" borderId="0" xfId="63" applyNumberFormat="1" applyFont="1" applyFill="1" applyAlignment="1">
      <alignment horizontal="right"/>
    </xf>
    <xf numFmtId="0" fontId="37" fillId="24" borderId="0" xfId="63" applyFont="1" applyFill="1"/>
    <xf numFmtId="165" fontId="36" fillId="24" borderId="0" xfId="63" applyNumberFormat="1" applyFont="1" applyFill="1"/>
    <xf numFmtId="165" fontId="39" fillId="24" borderId="0" xfId="0" applyNumberFormat="1" applyFont="1" applyFill="1"/>
    <xf numFmtId="3" fontId="36" fillId="24" borderId="0" xfId="0" applyNumberFormat="1" applyFont="1" applyFill="1"/>
    <xf numFmtId="165" fontId="36" fillId="24" borderId="0" xfId="0" applyNumberFormat="1" applyFont="1" applyFill="1"/>
    <xf numFmtId="165" fontId="23" fillId="0" borderId="19" xfId="61" applyNumberFormat="1" applyFont="1" applyBorder="1" applyAlignment="1">
      <alignment horizontal="center" vertical="top"/>
    </xf>
    <xf numFmtId="2" fontId="35" fillId="24" borderId="0" xfId="0" quotePrefix="1" applyNumberFormat="1" applyFont="1" applyFill="1"/>
    <xf numFmtId="49" fontId="32" fillId="0" borderId="0" xfId="61" quotePrefix="1" applyNumberFormat="1" applyFont="1"/>
    <xf numFmtId="0" fontId="41" fillId="0" borderId="0" xfId="61" applyFont="1" applyAlignment="1">
      <alignment vertical="center"/>
    </xf>
    <xf numFmtId="0" fontId="41" fillId="0" borderId="0" xfId="61" applyFont="1" applyAlignment="1">
      <alignment horizontal="right" vertical="center"/>
    </xf>
    <xf numFmtId="9" fontId="41" fillId="0" borderId="0" xfId="64" applyFont="1" applyAlignment="1">
      <alignment horizontal="center" vertical="top"/>
    </xf>
    <xf numFmtId="0" fontId="41" fillId="0" borderId="0" xfId="62" applyFont="1"/>
    <xf numFmtId="0" fontId="41" fillId="0" borderId="0" xfId="61" applyFont="1" applyAlignment="1">
      <alignment vertical="top"/>
    </xf>
    <xf numFmtId="9" fontId="23" fillId="0" borderId="0" xfId="64" applyFont="1" applyAlignment="1">
      <alignment horizontal="center" vertical="top"/>
    </xf>
    <xf numFmtId="0" fontId="16" fillId="0" borderId="0" xfId="61" applyFont="1" applyAlignment="1">
      <alignment horizontal="right"/>
    </xf>
    <xf numFmtId="9" fontId="42" fillId="0" borderId="0" xfId="64" quotePrefix="1" applyFont="1" applyAlignment="1">
      <alignment horizontal="center" vertical="center"/>
    </xf>
    <xf numFmtId="0" fontId="43" fillId="0" borderId="0" xfId="61" quotePrefix="1" applyFont="1" applyAlignment="1">
      <alignment horizontal="left" vertical="center"/>
    </xf>
    <xf numFmtId="0" fontId="43" fillId="0" borderId="0" xfId="61" applyFont="1" applyAlignment="1">
      <alignment vertical="center"/>
    </xf>
    <xf numFmtId="0" fontId="44" fillId="0" borderId="0" xfId="61" applyFont="1" applyAlignment="1">
      <alignment vertical="center"/>
    </xf>
    <xf numFmtId="0" fontId="43" fillId="0" borderId="0" xfId="61" applyFont="1" applyAlignment="1">
      <alignment horizontal="left" vertical="center"/>
    </xf>
    <xf numFmtId="9" fontId="33" fillId="0" borderId="0" xfId="64" quotePrefix="1" applyFont="1" applyAlignment="1">
      <alignment horizontal="right" vertical="center"/>
    </xf>
    <xf numFmtId="166" fontId="45" fillId="0" borderId="10" xfId="61" quotePrefix="1" applyNumberFormat="1" applyFont="1" applyBorder="1" applyAlignment="1">
      <alignment horizontal="left" indent="1"/>
    </xf>
    <xf numFmtId="9" fontId="33" fillId="25" borderId="0" xfId="64" quotePrefix="1" applyFont="1" applyFill="1" applyAlignment="1">
      <alignment horizontal="right" vertical="center"/>
    </xf>
    <xf numFmtId="9" fontId="16" fillId="0" borderId="0" xfId="62" applyNumberFormat="1" applyFont="1"/>
  </cellXfs>
  <cellStyles count="65">
    <cellStyle name="20 % - Accent1" xfId="1" xr:uid="{00000000-0005-0000-0000-000000000000}"/>
    <cellStyle name="20 % - Accent2" xfId="2" xr:uid="{00000000-0005-0000-0000-000001000000}"/>
    <cellStyle name="20 % - Accent3" xfId="3" xr:uid="{00000000-0005-0000-0000-000002000000}"/>
    <cellStyle name="20 % - Accent4" xfId="4" xr:uid="{00000000-0005-0000-0000-000003000000}"/>
    <cellStyle name="20 % - Accent5" xfId="5" xr:uid="{00000000-0005-0000-0000-000004000000}"/>
    <cellStyle name="20 % - Accent6" xfId="6" xr:uid="{00000000-0005-0000-0000-000005000000}"/>
    <cellStyle name="40 % - Accent1" xfId="7" xr:uid="{00000000-0005-0000-0000-000006000000}"/>
    <cellStyle name="40 % - Accent2" xfId="8" xr:uid="{00000000-0005-0000-0000-000007000000}"/>
    <cellStyle name="40 % - Accent3" xfId="9" xr:uid="{00000000-0005-0000-0000-000008000000}"/>
    <cellStyle name="40 % - Accent4" xfId="10" xr:uid="{00000000-0005-0000-0000-000009000000}"/>
    <cellStyle name="40 % - Accent5" xfId="11" xr:uid="{00000000-0005-0000-0000-00000A000000}"/>
    <cellStyle name="40 % - Accent6" xfId="12" xr:uid="{00000000-0005-0000-0000-00000B000000}"/>
    <cellStyle name="60 % - Accent1" xfId="13" xr:uid="{00000000-0005-0000-0000-00000C000000}"/>
    <cellStyle name="60 % - Accent2" xfId="14" xr:uid="{00000000-0005-0000-0000-00000D000000}"/>
    <cellStyle name="60 % - Accent3" xfId="15" xr:uid="{00000000-0005-0000-0000-00000E000000}"/>
    <cellStyle name="60 % - Accent4" xfId="16" xr:uid="{00000000-0005-0000-0000-00000F000000}"/>
    <cellStyle name="60 % - Accent5" xfId="17" xr:uid="{00000000-0005-0000-0000-000010000000}"/>
    <cellStyle name="60 % - Accent6" xfId="18" xr:uid="{00000000-0005-0000-0000-000011000000}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xr:uid="{00000000-0005-0000-0000-000018000000}"/>
    <cellStyle name="Bad" xfId="26" xr:uid="{00000000-0005-0000-0000-000019000000}"/>
    <cellStyle name="Cellule liée" xfId="27" xr:uid="{00000000-0005-0000-0000-00001A000000}"/>
    <cellStyle name="Check Cell" xfId="28" xr:uid="{00000000-0005-0000-0000-00001B000000}"/>
    <cellStyle name="Commentaire" xfId="29" xr:uid="{00000000-0005-0000-0000-00001C000000}"/>
    <cellStyle name="Entrée" xfId="30" xr:uid="{00000000-0005-0000-0000-00001D000000}"/>
    <cellStyle name="Euro" xfId="31" xr:uid="{00000000-0005-0000-0000-00001E000000}"/>
    <cellStyle name="Explanatory Text" xfId="32" xr:uid="{00000000-0005-0000-0000-00001F000000}"/>
    <cellStyle name="Heading 1" xfId="33" xr:uid="{00000000-0005-0000-0000-000020000000}"/>
    <cellStyle name="Heading 2" xfId="34" xr:uid="{00000000-0005-0000-0000-000021000000}"/>
    <cellStyle name="Heading 3" xfId="35" xr:uid="{00000000-0005-0000-0000-000022000000}"/>
    <cellStyle name="Heading 4" xfId="36" xr:uid="{00000000-0005-0000-0000-000023000000}"/>
    <cellStyle name="Input" xfId="37" xr:uid="{00000000-0005-0000-0000-000024000000}"/>
    <cellStyle name="Insatisfaisant" xfId="38" xr:uid="{00000000-0005-0000-0000-000025000000}"/>
    <cellStyle name="Invoer" xfId="39" xr:uid="{00000000-0005-0000-0000-000026000000}"/>
    <cellStyle name="Normal" xfId="0" builtinId="0"/>
    <cellStyle name="Normal - Style1" xfId="40" xr:uid="{00000000-0005-0000-0000-000028000000}"/>
    <cellStyle name="Normal - Style2" xfId="41" xr:uid="{00000000-0005-0000-0000-000029000000}"/>
    <cellStyle name="Normal - Style3" xfId="42" xr:uid="{00000000-0005-0000-0000-00002A000000}"/>
    <cellStyle name="Normal - Style4" xfId="43" xr:uid="{00000000-0005-0000-0000-00002B000000}"/>
    <cellStyle name="Normal - Style5" xfId="44" xr:uid="{00000000-0005-0000-0000-00002C000000}"/>
    <cellStyle name="Normal - Style6" xfId="45" xr:uid="{00000000-0005-0000-0000-00002D000000}"/>
    <cellStyle name="Normal - Style7" xfId="46" xr:uid="{00000000-0005-0000-0000-00002E000000}"/>
    <cellStyle name="Normal - Style8" xfId="47" xr:uid="{00000000-0005-0000-0000-00002F000000}"/>
    <cellStyle name="Normal 2" xfId="48" xr:uid="{00000000-0005-0000-0000-000030000000}"/>
    <cellStyle name="Normal 3" xfId="49" xr:uid="{00000000-0005-0000-0000-000031000000}"/>
    <cellStyle name="Normal 4" xfId="50" xr:uid="{00000000-0005-0000-0000-000032000000}"/>
    <cellStyle name="Normal 5" xfId="62" xr:uid="{BCA6DC8F-A96A-441A-A7F3-1287473C9725}"/>
    <cellStyle name="Normal_w2co2000" xfId="61" xr:uid="{A7E46DBC-594A-4157-B489-25B0193E0D57}"/>
    <cellStyle name="Normal_w2co2000 2" xfId="63" xr:uid="{B1AAB6CE-CA87-4779-9B06-F9BC5FD80421}"/>
    <cellStyle name="Note" xfId="51" xr:uid="{00000000-0005-0000-0000-000033000000}"/>
    <cellStyle name="Notitie" xfId="52" xr:uid="{00000000-0005-0000-0000-000034000000}"/>
    <cellStyle name="Ongeldig" xfId="53" xr:uid="{00000000-0005-0000-0000-000035000000}"/>
    <cellStyle name="Output" xfId="54" xr:uid="{00000000-0005-0000-0000-000036000000}"/>
    <cellStyle name="Percent" xfId="64" builtinId="5"/>
    <cellStyle name="Sortie" xfId="55" xr:uid="{00000000-0005-0000-0000-000037000000}"/>
    <cellStyle name="Standaard 19" xfId="60" xr:uid="{AB4FDB70-BE4F-4B77-B909-FABF4D64259E}"/>
    <cellStyle name="Standaard 2" xfId="56" xr:uid="{00000000-0005-0000-0000-000038000000}"/>
    <cellStyle name="Texte explicatif" xfId="57" xr:uid="{00000000-0005-0000-0000-00003A000000}"/>
    <cellStyle name="Uitvoer" xfId="58" xr:uid="{00000000-0005-0000-0000-00003B000000}"/>
    <cellStyle name="Verklarende tekst" xfId="59" xr:uid="{00000000-0005-0000-0000-00003C000000}"/>
  </cellStyles>
  <dxfs count="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333399"/>
      <color rgb="FF800080"/>
      <color rgb="FF00FF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9D179-D3F4-4CEF-8CD8-CC12CA698582}">
  <sheetPr codeName="Sheet1111238"/>
  <dimension ref="A1:BE373"/>
  <sheetViews>
    <sheetView showGridLines="0" tabSelected="1" topLeftCell="R42" zoomScale="90" zoomScaleNormal="90" workbookViewId="0">
      <selection activeCell="AF63" sqref="AF63:AF65"/>
    </sheetView>
  </sheetViews>
  <sheetFormatPr defaultColWidth="11.42578125" defaultRowHeight="12.75" x14ac:dyDescent="0.2"/>
  <cols>
    <col min="1" max="1" width="37.7109375" style="74" customWidth="1"/>
    <col min="2" max="2" width="37.7109375" style="74" hidden="1" customWidth="1"/>
    <col min="3" max="3" width="13.7109375" style="14" hidden="1" customWidth="1"/>
    <col min="4" max="4" width="18.28515625" style="74" customWidth="1"/>
    <col min="5" max="10" width="10.7109375" style="74" customWidth="1"/>
    <col min="11" max="12" width="13.28515625" style="74" bestFit="1" customWidth="1"/>
    <col min="13" max="15" width="10.7109375" style="74" customWidth="1"/>
    <col min="16" max="18" width="16" style="74" bestFit="1" customWidth="1"/>
    <col min="19" max="21" width="13.28515625" style="74" bestFit="1" customWidth="1"/>
    <col min="22" max="26" width="10.7109375" style="74" customWidth="1"/>
    <col min="27" max="29" width="13.140625" style="74" customWidth="1"/>
    <col min="30" max="32" width="11.42578125" style="5" customWidth="1"/>
    <col min="33" max="16384" width="11.42578125" style="74"/>
  </cols>
  <sheetData>
    <row r="1" spans="1:57" s="6" customFormat="1" ht="30" customHeight="1" x14ac:dyDescent="0.25">
      <c r="A1" s="1" t="s">
        <v>229</v>
      </c>
      <c r="B1" s="1" t="s">
        <v>231</v>
      </c>
      <c r="C1" s="2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5"/>
      <c r="AE1" s="5"/>
      <c r="AF1" s="5"/>
    </row>
    <row r="2" spans="1:57" s="6" customFormat="1" ht="30" customHeight="1" x14ac:dyDescent="0.25">
      <c r="A2" s="1"/>
      <c r="B2" s="1"/>
      <c r="C2" s="2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5"/>
      <c r="AE2" s="5"/>
      <c r="AF2" s="5"/>
    </row>
    <row r="3" spans="1:57" s="6" customFormat="1" ht="30" customHeight="1" x14ac:dyDescent="0.25">
      <c r="A3" s="1"/>
      <c r="B3" s="1"/>
      <c r="C3" s="2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>
        <v>4247.3999999999996</v>
      </c>
      <c r="AC3" s="4"/>
      <c r="AD3" s="5"/>
      <c r="AE3" s="5"/>
      <c r="AF3" s="5"/>
    </row>
    <row r="4" spans="1:57" s="6" customFormat="1" ht="30" customHeight="1" x14ac:dyDescent="0.25">
      <c r="A4" s="1"/>
      <c r="B4" s="1"/>
      <c r="C4" s="2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>
        <f>AB17/AB3</f>
        <v>15484.433550638625</v>
      </c>
      <c r="AC4" s="4"/>
      <c r="AD4" s="5"/>
      <c r="AE4" s="5"/>
      <c r="AF4" s="5"/>
    </row>
    <row r="5" spans="1:57" s="6" customFormat="1" ht="30" customHeight="1" x14ac:dyDescent="0.25">
      <c r="A5" s="1"/>
      <c r="B5" s="1"/>
      <c r="C5" s="2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>
        <f>(AB70+AB85)/AB3</f>
        <v>21972.008975527628</v>
      </c>
      <c r="AC5" s="4"/>
      <c r="AD5" s="5"/>
      <c r="AE5" s="5"/>
      <c r="AF5" s="5"/>
    </row>
    <row r="6" spans="1:57" s="6" customFormat="1" ht="30" customHeight="1" x14ac:dyDescent="0.25">
      <c r="A6" s="1"/>
      <c r="B6" s="1"/>
      <c r="C6" s="2"/>
      <c r="D6" s="116">
        <f t="shared" ref="D6:R6" si="0">D17/D68</f>
        <v>0.82060749121239307</v>
      </c>
      <c r="E6" s="116">
        <f t="shared" si="0"/>
        <v>0.80480469265497634</v>
      </c>
      <c r="F6" s="116">
        <f t="shared" si="0"/>
        <v>0.80924809775522377</v>
      </c>
      <c r="G6" s="116">
        <f t="shared" si="0"/>
        <v>0.76597410408737698</v>
      </c>
      <c r="H6" s="116">
        <f t="shared" si="0"/>
        <v>0.71925785634381501</v>
      </c>
      <c r="I6" s="116">
        <f t="shared" si="0"/>
        <v>0.71285154199918244</v>
      </c>
      <c r="J6" s="116">
        <f t="shared" si="0"/>
        <v>0.7102932252959292</v>
      </c>
      <c r="K6" s="116">
        <f t="shared" si="0"/>
        <v>0.71605909330307271</v>
      </c>
      <c r="L6" s="116">
        <f t="shared" si="0"/>
        <v>0.7445916322556253</v>
      </c>
      <c r="M6" s="116">
        <f t="shared" si="0"/>
        <v>0.70233824966316294</v>
      </c>
      <c r="N6" s="116">
        <f t="shared" si="0"/>
        <v>0.67892303804531628</v>
      </c>
      <c r="O6" s="116">
        <f t="shared" si="0"/>
        <v>0.67545521519803053</v>
      </c>
      <c r="P6" s="116">
        <f t="shared" si="0"/>
        <v>0.69294172448903824</v>
      </c>
      <c r="Q6" s="116">
        <f t="shared" si="0"/>
        <v>0.68028713229897986</v>
      </c>
      <c r="R6" s="116">
        <f t="shared" si="0"/>
        <v>0.67471403914906702</v>
      </c>
      <c r="S6" s="4"/>
      <c r="T6" s="4"/>
      <c r="U6" s="4"/>
      <c r="V6" s="4"/>
      <c r="W6" s="4"/>
      <c r="X6" s="4"/>
      <c r="Y6" s="4"/>
      <c r="Z6" s="4"/>
      <c r="AA6" s="4"/>
      <c r="AB6" s="116">
        <f>AB4/AB5</f>
        <v>0.70473453601284941</v>
      </c>
      <c r="AC6" s="4"/>
      <c r="AD6" s="5"/>
      <c r="AE6" s="5"/>
      <c r="AF6" s="5"/>
    </row>
    <row r="7" spans="1:57" s="6" customFormat="1" ht="30" customHeight="1" x14ac:dyDescent="0.25">
      <c r="A7" s="119" t="s">
        <v>234</v>
      </c>
      <c r="B7" s="1"/>
      <c r="C7" s="2"/>
      <c r="D7" s="116">
        <f t="shared" ref="D7:AC7" si="1">D17/D90</f>
        <v>0.75509277005129483</v>
      </c>
      <c r="E7" s="116">
        <f t="shared" si="1"/>
        <v>0.7426883959693068</v>
      </c>
      <c r="F7" s="116">
        <f t="shared" si="1"/>
        <v>0.74789210934954897</v>
      </c>
      <c r="G7" s="116">
        <f t="shared" si="1"/>
        <v>0.70986483079918516</v>
      </c>
      <c r="H7" s="116">
        <f t="shared" si="1"/>
        <v>0.66955829485360263</v>
      </c>
      <c r="I7" s="116">
        <f t="shared" si="1"/>
        <v>0.66425375241673779</v>
      </c>
      <c r="J7" s="116">
        <f t="shared" si="1"/>
        <v>0.66155791148874576</v>
      </c>
      <c r="K7" s="116">
        <f t="shared" si="1"/>
        <v>0.66790544412429942</v>
      </c>
      <c r="L7" s="116">
        <f t="shared" si="1"/>
        <v>0.69205678744352706</v>
      </c>
      <c r="M7" s="116">
        <f t="shared" si="1"/>
        <v>0.65429477472271835</v>
      </c>
      <c r="N7" s="116">
        <f t="shared" si="1"/>
        <v>0.63330246588511974</v>
      </c>
      <c r="O7" s="116">
        <f t="shared" si="1"/>
        <v>0.63057948246570383</v>
      </c>
      <c r="P7" s="116">
        <f t="shared" si="1"/>
        <v>0.64606153579749315</v>
      </c>
      <c r="Q7" s="116">
        <f t="shared" si="1"/>
        <v>0.63482497525319759</v>
      </c>
      <c r="R7" s="116">
        <f t="shared" si="1"/>
        <v>0.62609649182398408</v>
      </c>
      <c r="S7" s="116">
        <f t="shared" si="1"/>
        <v>0.75366366738934476</v>
      </c>
      <c r="T7" s="116">
        <f t="shared" si="1"/>
        <v>0.72957623442110786</v>
      </c>
      <c r="U7" s="116">
        <f t="shared" si="1"/>
        <v>0.71097563610039272</v>
      </c>
      <c r="V7" s="116">
        <f t="shared" si="1"/>
        <v>0.70447243963624528</v>
      </c>
      <c r="W7" s="116">
        <f t="shared" si="1"/>
        <v>0.70571926210431712</v>
      </c>
      <c r="X7" s="116">
        <f t="shared" si="1"/>
        <v>0.62551760366926856</v>
      </c>
      <c r="Y7" s="116">
        <f t="shared" si="1"/>
        <v>0.65735601512718778</v>
      </c>
      <c r="Z7" s="116">
        <f t="shared" si="1"/>
        <v>0.67757936855322454</v>
      </c>
      <c r="AA7" s="116">
        <f t="shared" si="1"/>
        <v>0.67343141444830834</v>
      </c>
      <c r="AB7" s="116">
        <f t="shared" si="1"/>
        <v>0.66226023504781817</v>
      </c>
      <c r="AC7" s="116">
        <f t="shared" si="1"/>
        <v>0.64693290747254018</v>
      </c>
      <c r="AD7" s="5"/>
      <c r="AE7" s="5"/>
      <c r="AF7" s="5"/>
    </row>
    <row r="8" spans="1:57" s="115" customFormat="1" ht="24.95" customHeight="1" x14ac:dyDescent="0.2">
      <c r="A8" s="120" t="s">
        <v>233</v>
      </c>
      <c r="B8" s="112"/>
      <c r="C8" s="111"/>
      <c r="D8" s="113">
        <f t="shared" ref="D8:AC8" si="2">D17/D70</f>
        <v>0.80538177914948272</v>
      </c>
      <c r="E8" s="113">
        <f t="shared" si="2"/>
        <v>0.79710733391251865</v>
      </c>
      <c r="F8" s="113">
        <f t="shared" si="2"/>
        <v>0.80020119032008818</v>
      </c>
      <c r="G8" s="113">
        <f t="shared" si="2"/>
        <v>0.75795077688970058</v>
      </c>
      <c r="H8" s="113">
        <f t="shared" si="2"/>
        <v>0.73469876017547031</v>
      </c>
      <c r="I8" s="113">
        <f t="shared" si="2"/>
        <v>0.73656496901487811</v>
      </c>
      <c r="J8" s="113">
        <f t="shared" si="2"/>
        <v>0.73484721903080386</v>
      </c>
      <c r="K8" s="113">
        <f t="shared" si="2"/>
        <v>0.74827201949756217</v>
      </c>
      <c r="L8" s="113">
        <f t="shared" si="2"/>
        <v>1.1365963610071306</v>
      </c>
      <c r="M8" s="113">
        <f t="shared" si="2"/>
        <v>1.0740099156116452</v>
      </c>
      <c r="N8" s="113">
        <f t="shared" si="2"/>
        <v>1.0481139873155723</v>
      </c>
      <c r="O8" s="113">
        <f t="shared" si="2"/>
        <v>1.0492410506856009</v>
      </c>
      <c r="P8" s="113">
        <f t="shared" si="2"/>
        <v>1.0486248961078211</v>
      </c>
      <c r="Q8" s="113">
        <f t="shared" si="2"/>
        <v>1.0303239074729706</v>
      </c>
      <c r="R8" s="113">
        <f t="shared" si="2"/>
        <v>1.0362373607826496</v>
      </c>
      <c r="S8" s="113">
        <f t="shared" si="2"/>
        <v>1.2160807176036994</v>
      </c>
      <c r="T8" s="113">
        <f t="shared" si="2"/>
        <v>1.1883181767727051</v>
      </c>
      <c r="U8" s="113">
        <f t="shared" si="2"/>
        <v>1.2015183591651035</v>
      </c>
      <c r="V8" s="113">
        <f t="shared" si="2"/>
        <v>1.1884437559458552</v>
      </c>
      <c r="W8" s="113">
        <f t="shared" si="2"/>
        <v>1.1930448988465268</v>
      </c>
      <c r="X8" s="113">
        <f t="shared" si="2"/>
        <v>1.0187831891370844</v>
      </c>
      <c r="Y8" s="113">
        <f t="shared" si="2"/>
        <v>1.0886725270343784</v>
      </c>
      <c r="Z8" s="113">
        <f t="shared" si="2"/>
        <v>1.1204309830212011</v>
      </c>
      <c r="AA8" s="113">
        <f t="shared" si="2"/>
        <v>1.1143286935321339</v>
      </c>
      <c r="AB8" s="113">
        <f t="shared" si="2"/>
        <v>1.086819302112487</v>
      </c>
      <c r="AC8" s="113">
        <f t="shared" si="2"/>
        <v>1.0641709204442897</v>
      </c>
      <c r="AD8" s="114"/>
      <c r="AE8" s="114"/>
      <c r="AF8" s="114"/>
    </row>
    <row r="9" spans="1:57" s="12" customFormat="1" ht="24.95" hidden="1" customHeight="1" x14ac:dyDescent="0.2">
      <c r="A9" s="121"/>
      <c r="B9" s="7"/>
      <c r="C9" s="8"/>
      <c r="D9" s="9"/>
      <c r="E9" s="9"/>
      <c r="F9" s="9"/>
      <c r="G9" s="9"/>
      <c r="H9" s="9"/>
      <c r="I9" s="9"/>
      <c r="J9" s="9"/>
      <c r="K9" s="9"/>
      <c r="L9" s="9"/>
      <c r="M9" s="9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1"/>
      <c r="AE9" s="11"/>
      <c r="AF9" s="11"/>
    </row>
    <row r="10" spans="1:57" s="12" customFormat="1" ht="24.95" hidden="1" customHeight="1" x14ac:dyDescent="0.2">
      <c r="A10" s="121"/>
      <c r="B10" s="7"/>
      <c r="C10" s="8"/>
      <c r="D10" s="9"/>
      <c r="E10" s="9"/>
      <c r="F10" s="9"/>
      <c r="G10" s="9"/>
      <c r="H10" s="9"/>
      <c r="I10" s="9"/>
      <c r="J10" s="9"/>
      <c r="K10" s="9"/>
      <c r="L10" s="9"/>
      <c r="M10" s="9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1"/>
      <c r="AE10" s="11"/>
      <c r="AF10" s="11"/>
    </row>
    <row r="11" spans="1:57" s="12" customFormat="1" ht="24.95" hidden="1" customHeight="1" x14ac:dyDescent="0.2">
      <c r="A11" s="121"/>
      <c r="B11" s="7"/>
      <c r="C11" s="8"/>
      <c r="D11" s="9"/>
      <c r="E11" s="9"/>
      <c r="F11" s="9"/>
      <c r="G11" s="9"/>
      <c r="H11" s="9"/>
      <c r="I11" s="9"/>
      <c r="J11" s="9"/>
      <c r="K11" s="9"/>
      <c r="L11" s="9"/>
      <c r="M11" s="9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1"/>
      <c r="AE11" s="11"/>
      <c r="AF11" s="11"/>
    </row>
    <row r="12" spans="1:57" s="14" customFormat="1" ht="12.95" hidden="1" customHeight="1" x14ac:dyDescent="0.2">
      <c r="A12" s="122"/>
      <c r="B12" s="13"/>
      <c r="D12" s="15" t="s">
        <v>4</v>
      </c>
      <c r="E12" s="15" t="s">
        <v>38</v>
      </c>
      <c r="F12" s="15"/>
      <c r="G12" s="15" t="s">
        <v>86</v>
      </c>
      <c r="AD12" s="16"/>
      <c r="AE12" s="16"/>
      <c r="AF12" s="16"/>
    </row>
    <row r="13" spans="1:57" s="14" customFormat="1" ht="12.95" hidden="1" customHeight="1" x14ac:dyDescent="0.2">
      <c r="A13" s="122"/>
      <c r="B13" s="13"/>
      <c r="D13" s="15" t="s">
        <v>52</v>
      </c>
      <c r="E13" s="15" t="s">
        <v>52</v>
      </c>
      <c r="F13" s="15" t="s">
        <v>52</v>
      </c>
      <c r="G13" s="15" t="s">
        <v>52</v>
      </c>
      <c r="H13" s="15" t="s">
        <v>52</v>
      </c>
      <c r="I13" s="15" t="s">
        <v>52</v>
      </c>
      <c r="J13" s="15" t="s">
        <v>52</v>
      </c>
      <c r="K13" s="15" t="s">
        <v>52</v>
      </c>
      <c r="L13" s="15" t="s">
        <v>52</v>
      </c>
      <c r="M13" s="15" t="s">
        <v>52</v>
      </c>
      <c r="N13" s="15" t="s">
        <v>52</v>
      </c>
      <c r="O13" s="15" t="s">
        <v>52</v>
      </c>
      <c r="P13" s="15" t="s">
        <v>52</v>
      </c>
      <c r="Q13" s="15" t="s">
        <v>52</v>
      </c>
      <c r="R13" s="15" t="s">
        <v>52</v>
      </c>
      <c r="S13" s="15" t="s">
        <v>52</v>
      </c>
      <c r="T13" s="15" t="s">
        <v>52</v>
      </c>
      <c r="U13" s="15" t="s">
        <v>52</v>
      </c>
      <c r="V13" s="15" t="s">
        <v>52</v>
      </c>
      <c r="W13" s="15" t="s">
        <v>52</v>
      </c>
      <c r="X13" s="15" t="s">
        <v>52</v>
      </c>
      <c r="Y13" s="15" t="s">
        <v>52</v>
      </c>
      <c r="Z13" s="15" t="s">
        <v>52</v>
      </c>
      <c r="AA13" s="15" t="s">
        <v>52</v>
      </c>
      <c r="AB13" s="15" t="s">
        <v>85</v>
      </c>
      <c r="AC13" s="15" t="s">
        <v>85</v>
      </c>
      <c r="AD13" s="16"/>
      <c r="AE13" s="16"/>
      <c r="AF13" s="16"/>
    </row>
    <row r="14" spans="1:57" s="14" customFormat="1" ht="12.95" hidden="1" customHeight="1" thickBot="1" x14ac:dyDescent="0.25">
      <c r="A14" s="122"/>
      <c r="B14" s="13"/>
      <c r="D14" s="15" t="s">
        <v>68</v>
      </c>
      <c r="E14" s="15" t="s">
        <v>69</v>
      </c>
      <c r="F14" s="15" t="s">
        <v>53</v>
      </c>
      <c r="G14" s="15" t="s">
        <v>54</v>
      </c>
      <c r="H14" s="15" t="s">
        <v>55</v>
      </c>
      <c r="I14" s="15" t="s">
        <v>56</v>
      </c>
      <c r="J14" s="15" t="s">
        <v>57</v>
      </c>
      <c r="K14" s="15" t="s">
        <v>58</v>
      </c>
      <c r="L14" s="15" t="s">
        <v>59</v>
      </c>
      <c r="M14" s="15" t="s">
        <v>60</v>
      </c>
      <c r="N14" s="15" t="s">
        <v>61</v>
      </c>
      <c r="O14" s="15" t="s">
        <v>62</v>
      </c>
      <c r="P14" s="15" t="s">
        <v>63</v>
      </c>
      <c r="Q14" s="15" t="s">
        <v>64</v>
      </c>
      <c r="R14" s="15" t="s">
        <v>65</v>
      </c>
      <c r="S14" s="15" t="s">
        <v>37</v>
      </c>
      <c r="T14" s="15" t="s">
        <v>1</v>
      </c>
      <c r="U14" s="15" t="s">
        <v>2</v>
      </c>
      <c r="V14" s="15" t="s">
        <v>45</v>
      </c>
      <c r="W14" s="15" t="s">
        <v>44</v>
      </c>
      <c r="X14" s="15" t="s">
        <v>71</v>
      </c>
      <c r="Y14" s="15" t="s">
        <v>80</v>
      </c>
      <c r="Z14" s="15" t="s">
        <v>81</v>
      </c>
      <c r="AA14" s="15" t="s">
        <v>83</v>
      </c>
      <c r="AB14" s="15" t="s">
        <v>82</v>
      </c>
      <c r="AC14" s="15" t="s">
        <v>84</v>
      </c>
      <c r="BC14" s="16"/>
      <c r="BD14" s="16"/>
      <c r="BE14" s="16"/>
    </row>
    <row r="15" spans="1:57" s="14" customFormat="1" ht="12.95" customHeight="1" thickBot="1" x14ac:dyDescent="0.25">
      <c r="A15" s="122" t="s">
        <v>235</v>
      </c>
      <c r="B15" s="13"/>
      <c r="D15" s="118">
        <f t="shared" ref="D15:AC15" si="3">D17/(D70+D85)</f>
        <v>0.80538177914948272</v>
      </c>
      <c r="E15" s="118">
        <f t="shared" si="3"/>
        <v>0.79710733391251865</v>
      </c>
      <c r="F15" s="118">
        <f t="shared" si="3"/>
        <v>0.80020119032008818</v>
      </c>
      <c r="G15" s="118">
        <f t="shared" si="3"/>
        <v>0.75795077688970058</v>
      </c>
      <c r="H15" s="118">
        <f t="shared" si="3"/>
        <v>0.73469876017547031</v>
      </c>
      <c r="I15" s="118">
        <f t="shared" si="3"/>
        <v>0.73656496901487811</v>
      </c>
      <c r="J15" s="118">
        <f t="shared" si="3"/>
        <v>0.73484721903080386</v>
      </c>
      <c r="K15" s="118">
        <f t="shared" si="3"/>
        <v>0.74827201949756217</v>
      </c>
      <c r="L15" s="118">
        <f t="shared" si="3"/>
        <v>0.73375611607969082</v>
      </c>
      <c r="M15" s="118">
        <f t="shared" si="3"/>
        <v>0.69360172440543588</v>
      </c>
      <c r="N15" s="118">
        <f t="shared" si="3"/>
        <v>0.67379519765762907</v>
      </c>
      <c r="O15" s="118">
        <f t="shared" si="3"/>
        <v>0.67251878485780825</v>
      </c>
      <c r="P15" s="118">
        <f t="shared" si="3"/>
        <v>0.68943978997033428</v>
      </c>
      <c r="Q15" s="118">
        <f t="shared" si="3"/>
        <v>0.67682570988752055</v>
      </c>
      <c r="R15" s="118">
        <f t="shared" si="3"/>
        <v>0.68123690233157252</v>
      </c>
      <c r="S15" s="118">
        <f t="shared" si="3"/>
        <v>0.80286316532132318</v>
      </c>
      <c r="T15" s="118">
        <f t="shared" si="3"/>
        <v>0.79517247859480045</v>
      </c>
      <c r="U15" s="118">
        <f t="shared" si="3"/>
        <v>0.76761474443270827</v>
      </c>
      <c r="V15" s="118">
        <f t="shared" si="3"/>
        <v>0.7593302777815738</v>
      </c>
      <c r="W15" s="118">
        <f t="shared" si="3"/>
        <v>0.76139820131057023</v>
      </c>
      <c r="X15" s="118">
        <f t="shared" si="3"/>
        <v>0.6730942123714021</v>
      </c>
      <c r="Y15" s="118">
        <f t="shared" si="3"/>
        <v>0.70659659807780706</v>
      </c>
      <c r="Z15" s="118">
        <f t="shared" si="3"/>
        <v>0.72628648762613768</v>
      </c>
      <c r="AA15" s="118">
        <f t="shared" si="3"/>
        <v>0.72016776680225614</v>
      </c>
      <c r="AB15" s="118">
        <f t="shared" si="3"/>
        <v>0.70473453601284941</v>
      </c>
      <c r="AC15" s="118">
        <f t="shared" si="3"/>
        <v>0.69093277665443886</v>
      </c>
      <c r="BC15" s="16"/>
      <c r="BD15" s="16"/>
      <c r="BE15" s="16"/>
    </row>
    <row r="16" spans="1:57" s="20" customFormat="1" ht="30" customHeight="1" x14ac:dyDescent="0.2">
      <c r="A16" s="17" t="s">
        <v>34</v>
      </c>
      <c r="B16" s="17" t="s">
        <v>87</v>
      </c>
      <c r="C16" s="18"/>
      <c r="D16" s="19" t="str">
        <f t="shared" ref="D16:AC16" si="4">CONCATENATE(" ",D14," ")</f>
        <v xml:space="preserve"> 2000 </v>
      </c>
      <c r="E16" s="19" t="str">
        <f t="shared" si="4"/>
        <v xml:space="preserve"> 2001 </v>
      </c>
      <c r="F16" s="19" t="str">
        <f t="shared" si="4"/>
        <v xml:space="preserve"> 2002 </v>
      </c>
      <c r="G16" s="19" t="str">
        <f t="shared" si="4"/>
        <v xml:space="preserve"> 2003 </v>
      </c>
      <c r="H16" s="19" t="str">
        <f t="shared" si="4"/>
        <v xml:space="preserve"> 2004 </v>
      </c>
      <c r="I16" s="19" t="str">
        <f t="shared" si="4"/>
        <v xml:space="preserve"> 2005 </v>
      </c>
      <c r="J16" s="19" t="str">
        <f t="shared" si="4"/>
        <v xml:space="preserve"> 2006 </v>
      </c>
      <c r="K16" s="19" t="str">
        <f t="shared" si="4"/>
        <v xml:space="preserve"> 2007 </v>
      </c>
      <c r="L16" s="19" t="str">
        <f t="shared" si="4"/>
        <v xml:space="preserve"> 2008 </v>
      </c>
      <c r="M16" s="19" t="str">
        <f t="shared" si="4"/>
        <v xml:space="preserve"> 2009 </v>
      </c>
      <c r="N16" s="19" t="str">
        <f t="shared" si="4"/>
        <v xml:space="preserve"> 2010 </v>
      </c>
      <c r="O16" s="19" t="str">
        <f t="shared" si="4"/>
        <v xml:space="preserve"> 2011 </v>
      </c>
      <c r="P16" s="19" t="str">
        <f t="shared" si="4"/>
        <v xml:space="preserve"> 2012 </v>
      </c>
      <c r="Q16" s="19" t="str">
        <f t="shared" si="4"/>
        <v xml:space="preserve"> 2013 </v>
      </c>
      <c r="R16" s="19" t="str">
        <f t="shared" si="4"/>
        <v xml:space="preserve"> 2014 </v>
      </c>
      <c r="S16" s="19" t="str">
        <f t="shared" si="4"/>
        <v xml:space="preserve"> 2015 </v>
      </c>
      <c r="T16" s="19" t="str">
        <f t="shared" si="4"/>
        <v xml:space="preserve"> 2016 </v>
      </c>
      <c r="U16" s="19" t="str">
        <f t="shared" si="4"/>
        <v xml:space="preserve"> 2017 </v>
      </c>
      <c r="V16" s="19" t="str">
        <f t="shared" si="4"/>
        <v xml:space="preserve"> 2018 </v>
      </c>
      <c r="W16" s="19" t="str">
        <f t="shared" si="4"/>
        <v xml:space="preserve"> 2019 </v>
      </c>
      <c r="X16" s="19" t="str">
        <f t="shared" si="4"/>
        <v xml:space="preserve"> 2020 </v>
      </c>
      <c r="Y16" s="19" t="str">
        <f t="shared" si="4"/>
        <v xml:space="preserve"> 2021 </v>
      </c>
      <c r="Z16" s="19" t="str">
        <f t="shared" si="4"/>
        <v xml:space="preserve"> 2022 </v>
      </c>
      <c r="AA16" s="19" t="str">
        <f t="shared" si="4"/>
        <v xml:space="preserve"> 2023 </v>
      </c>
      <c r="AB16" s="19" t="str">
        <f t="shared" si="4"/>
        <v xml:space="preserve"> 2024 </v>
      </c>
      <c r="AC16" s="19" t="str">
        <f t="shared" si="4"/>
        <v xml:space="preserve"> 2025 </v>
      </c>
      <c r="AD16" s="5"/>
      <c r="AE16" s="5"/>
      <c r="AF16" s="5"/>
    </row>
    <row r="17" spans="1:32" s="25" customFormat="1" ht="20.100000000000001" customHeight="1" x14ac:dyDescent="0.2">
      <c r="A17" s="21" t="s">
        <v>88</v>
      </c>
      <c r="B17" s="21" t="s">
        <v>89</v>
      </c>
      <c r="C17" s="22" t="s">
        <v>10</v>
      </c>
      <c r="D17" s="23">
        <v>29433699.642999999</v>
      </c>
      <c r="E17" s="23">
        <v>30644264.41581</v>
      </c>
      <c r="F17" s="23">
        <v>32369813.188689999</v>
      </c>
      <c r="G17" s="23">
        <v>32469268.396650009</v>
      </c>
      <c r="H17" s="23">
        <v>33123848.60579</v>
      </c>
      <c r="I17" s="23">
        <v>34202276.429250002</v>
      </c>
      <c r="J17" s="23">
        <v>35153662.244000003</v>
      </c>
      <c r="K17" s="23">
        <v>37103312.221569993</v>
      </c>
      <c r="L17" s="23">
        <v>38476948.79958</v>
      </c>
      <c r="M17" s="23">
        <v>39261165.236699998</v>
      </c>
      <c r="N17" s="23">
        <v>39580643.798440017</v>
      </c>
      <c r="O17" s="23">
        <v>41462766.483000003</v>
      </c>
      <c r="P17" s="23">
        <v>43343818.894059993</v>
      </c>
      <c r="Q17" s="23">
        <v>44275102.849219993</v>
      </c>
      <c r="R17" s="23">
        <v>45842493.395020001</v>
      </c>
      <c r="S17" s="23">
        <v>47640682.781880014</v>
      </c>
      <c r="T17" s="23">
        <v>47640622.342170008</v>
      </c>
      <c r="U17" s="23">
        <v>48995747.728340022</v>
      </c>
      <c r="V17" s="23">
        <v>49961681.021519989</v>
      </c>
      <c r="W17" s="23">
        <v>51749904.124439999</v>
      </c>
      <c r="X17" s="23">
        <v>50773063.877800003</v>
      </c>
      <c r="Y17" s="23">
        <v>53722777.372219868</v>
      </c>
      <c r="Z17" s="23">
        <v>58532826.369349167</v>
      </c>
      <c r="AA17" s="23">
        <v>62867871.943820201</v>
      </c>
      <c r="AB17" s="23">
        <v>65768583.062982492</v>
      </c>
      <c r="AC17" s="23">
        <v>68200925.783903718</v>
      </c>
      <c r="AD17" s="24"/>
      <c r="AE17" s="24"/>
      <c r="AF17" s="24"/>
    </row>
    <row r="18" spans="1:32" s="29" customFormat="1" ht="15.95" customHeight="1" x14ac:dyDescent="0.2">
      <c r="A18" s="26" t="s">
        <v>224</v>
      </c>
      <c r="B18" s="26" t="s">
        <v>226</v>
      </c>
      <c r="C18" s="27" t="s">
        <v>11</v>
      </c>
      <c r="D18" s="28">
        <v>24762301.210000001</v>
      </c>
      <c r="E18" s="28">
        <v>25840391</v>
      </c>
      <c r="F18" s="28">
        <v>27324912.19785</v>
      </c>
      <c r="G18" s="28">
        <v>27129686.820999999</v>
      </c>
      <c r="H18" s="28">
        <v>27818051.217999998</v>
      </c>
      <c r="I18" s="28">
        <v>28575044.123089999</v>
      </c>
      <c r="J18" s="28">
        <v>32965304.16395</v>
      </c>
      <c r="K18" s="28">
        <v>34782557.345170014</v>
      </c>
      <c r="L18" s="28">
        <v>36709647.024800003</v>
      </c>
      <c r="M18" s="28">
        <v>37376913.136739999</v>
      </c>
      <c r="N18" s="28">
        <v>37658541.795400009</v>
      </c>
      <c r="O18" s="28">
        <v>39397430.358740002</v>
      </c>
      <c r="P18" s="28">
        <v>41135330.535599999</v>
      </c>
      <c r="Q18" s="28">
        <v>42006810.109059989</v>
      </c>
      <c r="R18" s="28">
        <v>43544076.762879997</v>
      </c>
      <c r="S18" s="28">
        <v>45358925.865740009</v>
      </c>
      <c r="T18" s="28">
        <v>45349743.15984001</v>
      </c>
      <c r="U18" s="28">
        <v>46620210.22426001</v>
      </c>
      <c r="V18" s="28">
        <v>47494907.414180003</v>
      </c>
      <c r="W18" s="28">
        <v>49205052.704970002</v>
      </c>
      <c r="X18" s="28">
        <v>48222309.278139994</v>
      </c>
      <c r="Y18" s="28">
        <v>51049695.581499882</v>
      </c>
      <c r="Z18" s="28">
        <v>55690208.976309173</v>
      </c>
      <c r="AA18" s="28">
        <v>59739498.354020201</v>
      </c>
      <c r="AB18" s="28">
        <v>62566077.163380854</v>
      </c>
      <c r="AC18" s="28">
        <v>64899175.304552071</v>
      </c>
      <c r="AD18" s="5"/>
      <c r="AE18" s="5"/>
      <c r="AF18" s="5"/>
    </row>
    <row r="19" spans="1:32" s="29" customFormat="1" ht="15.95" customHeight="1" x14ac:dyDescent="0.2">
      <c r="A19" s="26" t="s">
        <v>225</v>
      </c>
      <c r="B19" s="26" t="s">
        <v>66</v>
      </c>
      <c r="C19" s="27" t="s">
        <v>67</v>
      </c>
      <c r="D19" s="28">
        <v>2839422</v>
      </c>
      <c r="E19" s="28">
        <v>2914595.8</v>
      </c>
      <c r="F19" s="28">
        <v>3023713</v>
      </c>
      <c r="G19" s="28">
        <v>3211199.8</v>
      </c>
      <c r="H19" s="28">
        <v>3132346</v>
      </c>
      <c r="I19" s="28">
        <v>3229618.2812199998</v>
      </c>
      <c r="J19" s="28">
        <v>0</v>
      </c>
      <c r="K19" s="28">
        <v>0</v>
      </c>
      <c r="L19" s="28">
        <v>0</v>
      </c>
      <c r="M19" s="28" t="s">
        <v>154</v>
      </c>
      <c r="N19" s="28" t="s">
        <v>154</v>
      </c>
      <c r="O19" s="28" t="s">
        <v>154</v>
      </c>
      <c r="P19" s="28" t="s">
        <v>154</v>
      </c>
      <c r="Q19" s="28" t="s">
        <v>154</v>
      </c>
      <c r="R19" s="28" t="s">
        <v>154</v>
      </c>
      <c r="S19" s="28" t="s">
        <v>154</v>
      </c>
      <c r="T19" s="28" t="s">
        <v>154</v>
      </c>
      <c r="U19" s="28" t="s">
        <v>154</v>
      </c>
      <c r="V19" s="28" t="s">
        <v>154</v>
      </c>
      <c r="W19" s="28" t="s">
        <v>154</v>
      </c>
      <c r="X19" s="28" t="s">
        <v>154</v>
      </c>
      <c r="Y19" s="28" t="s">
        <v>154</v>
      </c>
      <c r="Z19" s="28" t="s">
        <v>154</v>
      </c>
      <c r="AA19" s="28" t="s">
        <v>154</v>
      </c>
      <c r="AB19" s="28" t="s">
        <v>154</v>
      </c>
      <c r="AC19" s="28" t="s">
        <v>154</v>
      </c>
      <c r="AD19" s="5"/>
      <c r="AE19" s="5"/>
      <c r="AF19" s="5"/>
    </row>
    <row r="20" spans="1:32" s="29" customFormat="1" ht="15.95" customHeight="1" x14ac:dyDescent="0.2">
      <c r="A20" s="26" t="s">
        <v>35</v>
      </c>
      <c r="B20" s="26" t="s">
        <v>26</v>
      </c>
      <c r="C20" s="27" t="s">
        <v>12</v>
      </c>
      <c r="D20" s="28">
        <v>1773433.433</v>
      </c>
      <c r="E20" s="28">
        <v>1823542.6158100001</v>
      </c>
      <c r="F20" s="28">
        <v>1939363.3725300001</v>
      </c>
      <c r="G20" s="28">
        <v>2067053.77565</v>
      </c>
      <c r="H20" s="28">
        <v>2091753.3877900001</v>
      </c>
      <c r="I20" s="28">
        <v>2326614.6573899998</v>
      </c>
      <c r="J20" s="28">
        <v>2117332.07999</v>
      </c>
      <c r="K20" s="28">
        <v>2250264.03192</v>
      </c>
      <c r="L20" s="28">
        <v>1698445.1749400001</v>
      </c>
      <c r="M20" s="28">
        <v>1817144.88228</v>
      </c>
      <c r="N20" s="28">
        <v>1852197.48425</v>
      </c>
      <c r="O20" s="28">
        <v>1990540.5063499999</v>
      </c>
      <c r="P20" s="28">
        <v>2089085.45138</v>
      </c>
      <c r="Q20" s="28">
        <v>2185768.82057</v>
      </c>
      <c r="R20" s="28">
        <v>2234843.3977899998</v>
      </c>
      <c r="S20" s="28">
        <v>2208374.61014</v>
      </c>
      <c r="T20" s="28">
        <v>2201955.1666899999</v>
      </c>
      <c r="U20" s="28">
        <v>2303114.1687799999</v>
      </c>
      <c r="V20" s="28">
        <v>2397695.6012400002</v>
      </c>
      <c r="W20" s="28">
        <v>2471930.2406899999</v>
      </c>
      <c r="X20" s="28">
        <v>2502472.7340299999</v>
      </c>
      <c r="Y20" s="28">
        <v>2621480.2842100002</v>
      </c>
      <c r="Z20" s="28">
        <v>2756152.6253499999</v>
      </c>
      <c r="AA20" s="28">
        <v>3030519.789309999</v>
      </c>
      <c r="AB20" s="28">
        <v>3099675.0782024506</v>
      </c>
      <c r="AC20" s="28">
        <v>3179953.4019937906</v>
      </c>
      <c r="AD20" s="5"/>
      <c r="AE20" s="5"/>
      <c r="AF20" s="5"/>
    </row>
    <row r="21" spans="1:32" s="29" customFormat="1" ht="15.95" customHeight="1" x14ac:dyDescent="0.2">
      <c r="A21" s="26" t="s">
        <v>90</v>
      </c>
      <c r="B21" s="26" t="s">
        <v>41</v>
      </c>
      <c r="C21" s="27" t="s">
        <v>43</v>
      </c>
      <c r="D21" s="28">
        <v>58543</v>
      </c>
      <c r="E21" s="28">
        <v>65735</v>
      </c>
      <c r="F21" s="28">
        <v>81824.618310000005</v>
      </c>
      <c r="G21" s="28">
        <v>61328</v>
      </c>
      <c r="H21" s="28">
        <v>81698</v>
      </c>
      <c r="I21" s="28">
        <v>70999.367549999995</v>
      </c>
      <c r="J21" s="28">
        <v>71026</v>
      </c>
      <c r="K21" s="28">
        <v>70490.844169999997</v>
      </c>
      <c r="L21" s="28">
        <v>68856.599839999995</v>
      </c>
      <c r="M21" s="28">
        <v>67107.217679999987</v>
      </c>
      <c r="N21" s="28">
        <v>69904.518790000002</v>
      </c>
      <c r="O21" s="28">
        <v>74795.617910000001</v>
      </c>
      <c r="P21" s="28">
        <v>119402.90708</v>
      </c>
      <c r="Q21" s="28">
        <v>82523.91958999999</v>
      </c>
      <c r="R21" s="28">
        <v>63573.234349999999</v>
      </c>
      <c r="S21" s="28">
        <v>73382.305999999997</v>
      </c>
      <c r="T21" s="28">
        <v>88924.015639999998</v>
      </c>
      <c r="U21" s="28">
        <v>72423.335300000021</v>
      </c>
      <c r="V21" s="28">
        <v>69078.006099999999</v>
      </c>
      <c r="W21" s="28">
        <v>72921.178780000002</v>
      </c>
      <c r="X21" s="28">
        <v>48281.86563</v>
      </c>
      <c r="Y21" s="28">
        <v>51601.506510000007</v>
      </c>
      <c r="Z21" s="28">
        <v>86464.767690000008</v>
      </c>
      <c r="AA21" s="28">
        <v>97853.80048999998</v>
      </c>
      <c r="AB21" s="28">
        <v>102830.82139918824</v>
      </c>
      <c r="AC21" s="28">
        <v>107467.07736786189</v>
      </c>
      <c r="AD21" s="5"/>
      <c r="AE21" s="5"/>
      <c r="AF21" s="5"/>
    </row>
    <row r="22" spans="1:32" s="29" customFormat="1" ht="15.95" customHeight="1" x14ac:dyDescent="0.2">
      <c r="A22" s="26" t="s">
        <v>70</v>
      </c>
      <c r="B22" s="26" t="s">
        <v>32</v>
      </c>
      <c r="C22" s="27" t="s">
        <v>33</v>
      </c>
      <c r="D22" s="28" t="s">
        <v>154</v>
      </c>
      <c r="E22" s="28" t="s">
        <v>154</v>
      </c>
      <c r="F22" s="28" t="s">
        <v>154</v>
      </c>
      <c r="G22" s="28" t="s">
        <v>154</v>
      </c>
      <c r="H22" s="28" t="s">
        <v>154</v>
      </c>
      <c r="I22" s="28" t="s">
        <v>154</v>
      </c>
      <c r="J22" s="28">
        <v>0</v>
      </c>
      <c r="K22" s="28">
        <v>0</v>
      </c>
      <c r="L22" s="28">
        <v>0</v>
      </c>
      <c r="M22" s="28" t="s">
        <v>154</v>
      </c>
      <c r="N22" s="28" t="s">
        <v>154</v>
      </c>
      <c r="O22" s="28">
        <v>0</v>
      </c>
      <c r="P22" s="28">
        <v>0</v>
      </c>
      <c r="Q22" s="28">
        <v>0</v>
      </c>
      <c r="R22" s="28">
        <v>0</v>
      </c>
      <c r="S22" s="28">
        <v>0</v>
      </c>
      <c r="T22" s="28">
        <v>0</v>
      </c>
      <c r="U22" s="28">
        <v>0</v>
      </c>
      <c r="V22" s="28">
        <v>0</v>
      </c>
      <c r="W22" s="28">
        <v>0</v>
      </c>
      <c r="X22" s="28">
        <v>0</v>
      </c>
      <c r="Y22" s="28">
        <v>0</v>
      </c>
      <c r="Z22" s="28">
        <v>0</v>
      </c>
      <c r="AA22" s="28">
        <v>0</v>
      </c>
      <c r="AB22" s="28">
        <v>0</v>
      </c>
      <c r="AC22" s="28">
        <v>14329.99999</v>
      </c>
      <c r="AD22" s="5"/>
      <c r="AE22" s="5"/>
      <c r="AF22" s="5"/>
    </row>
    <row r="23" spans="1:32" s="25" customFormat="1" ht="15.95" customHeight="1" x14ac:dyDescent="0.2">
      <c r="A23" s="30" t="s">
        <v>91</v>
      </c>
      <c r="B23" s="30" t="s">
        <v>92</v>
      </c>
      <c r="C23" s="31" t="s">
        <v>14</v>
      </c>
      <c r="D23" s="32">
        <v>4962318.0730000008</v>
      </c>
      <c r="E23" s="32">
        <v>5090363.0410000002</v>
      </c>
      <c r="F23" s="32">
        <v>5123453.3575299997</v>
      </c>
      <c r="G23" s="32">
        <v>5209999.8080000002</v>
      </c>
      <c r="H23" s="32">
        <v>5287517</v>
      </c>
      <c r="I23" s="33">
        <v>5355598.8169999998</v>
      </c>
      <c r="J23" s="33">
        <v>5430743.0669999998</v>
      </c>
      <c r="K23" s="33">
        <v>5522077.8667599997</v>
      </c>
      <c r="L23" s="33">
        <v>5745556.9119999995</v>
      </c>
      <c r="M23" s="33">
        <v>5850004.8614800004</v>
      </c>
      <c r="N23" s="32">
        <v>8109215.4320499999</v>
      </c>
      <c r="O23" s="32">
        <v>7067196.4000800001</v>
      </c>
      <c r="P23" s="32">
        <v>9858879.4060899988</v>
      </c>
      <c r="Q23" s="32">
        <v>11087872</v>
      </c>
      <c r="R23" s="32">
        <v>11893447</v>
      </c>
      <c r="S23" s="32">
        <v>7927048.4380200002</v>
      </c>
      <c r="T23" s="32">
        <v>8071355.5580400014</v>
      </c>
      <c r="U23" s="32">
        <v>6622597.8435500003</v>
      </c>
      <c r="V23" s="32">
        <v>5605390.5422600014</v>
      </c>
      <c r="W23" s="32">
        <v>6806126.93511</v>
      </c>
      <c r="X23" s="32">
        <v>14223912.61489</v>
      </c>
      <c r="Y23" s="32">
        <v>9229363.8527199998</v>
      </c>
      <c r="Z23" s="32">
        <v>7434356.2374231257</v>
      </c>
      <c r="AA23" s="32">
        <v>8986523.5203600004</v>
      </c>
      <c r="AB23" s="32">
        <v>9488923.944743501</v>
      </c>
      <c r="AC23" s="32">
        <v>9581998.5094602946</v>
      </c>
      <c r="AD23" s="24">
        <f>AC23/AC58</f>
        <v>9.3573577263098076E-2</v>
      </c>
      <c r="AE23" s="24"/>
      <c r="AF23" s="24"/>
    </row>
    <row r="24" spans="1:32" s="29" customFormat="1" ht="15.95" customHeight="1" x14ac:dyDescent="0.2">
      <c r="A24" s="26" t="s">
        <v>49</v>
      </c>
      <c r="B24" s="26" t="s">
        <v>50</v>
      </c>
      <c r="C24" s="27" t="s">
        <v>51</v>
      </c>
      <c r="D24" s="28">
        <v>4962318.0730000008</v>
      </c>
      <c r="E24" s="28">
        <v>5090363.0410000002</v>
      </c>
      <c r="F24" s="28">
        <v>5123453.3575299997</v>
      </c>
      <c r="G24" s="28">
        <v>5209999.8080000002</v>
      </c>
      <c r="H24" s="34">
        <v>5287517</v>
      </c>
      <c r="I24" s="34">
        <v>5355598.8169999998</v>
      </c>
      <c r="J24" s="34">
        <v>5430743.0669999998</v>
      </c>
      <c r="K24" s="34">
        <v>5522077.8667599997</v>
      </c>
      <c r="L24" s="34">
        <v>5745556.9119999995</v>
      </c>
      <c r="M24" s="34">
        <v>5850004.8614800004</v>
      </c>
      <c r="N24" s="28">
        <v>8109215.4320499999</v>
      </c>
      <c r="O24" s="28">
        <v>7067196.4000800001</v>
      </c>
      <c r="P24" s="28">
        <v>9858879.4060899988</v>
      </c>
      <c r="Q24" s="28">
        <v>11087872</v>
      </c>
      <c r="R24" s="28">
        <v>11893447</v>
      </c>
      <c r="S24" s="28">
        <v>6359855</v>
      </c>
      <c r="T24" s="28">
        <v>6494625</v>
      </c>
      <c r="U24" s="28">
        <v>5160553.0779999997</v>
      </c>
      <c r="V24" s="28">
        <v>4188674</v>
      </c>
      <c r="W24" s="28">
        <v>5330984.5395099996</v>
      </c>
      <c r="X24" s="28">
        <v>12894466.539999999</v>
      </c>
      <c r="Y24" s="28">
        <v>7937032.5395099996</v>
      </c>
      <c r="Z24" s="28">
        <v>6627926.7921331264</v>
      </c>
      <c r="AA24" s="28">
        <v>8278358.5395099996</v>
      </c>
      <c r="AB24" s="28">
        <v>8906904.5395100005</v>
      </c>
      <c r="AC24" s="28">
        <v>9182473.5399999991</v>
      </c>
      <c r="AD24" s="5"/>
      <c r="AE24" s="5"/>
      <c r="AF24" s="5"/>
    </row>
    <row r="25" spans="1:32" s="91" customFormat="1" ht="15.95" customHeight="1" x14ac:dyDescent="0.2">
      <c r="A25" s="87" t="s">
        <v>76</v>
      </c>
      <c r="B25" s="87" t="s">
        <v>27</v>
      </c>
      <c r="C25" s="88" t="s">
        <v>74</v>
      </c>
      <c r="D25" s="89">
        <v>4876327.813000001</v>
      </c>
      <c r="E25" s="89">
        <v>5023591.0410000002</v>
      </c>
      <c r="F25" s="89">
        <v>5061855.3020000001</v>
      </c>
      <c r="G25" s="89">
        <v>5150238.3080000002</v>
      </c>
      <c r="H25" s="89">
        <v>5229300</v>
      </c>
      <c r="I25" s="89">
        <v>5329837</v>
      </c>
      <c r="J25" s="89">
        <v>5404444.3059999999</v>
      </c>
      <c r="K25" s="89">
        <v>5512416.5551899998</v>
      </c>
      <c r="L25" s="89">
        <v>5734891</v>
      </c>
      <c r="M25" s="89">
        <v>5839990.4614800001</v>
      </c>
      <c r="N25" s="89">
        <v>5802788</v>
      </c>
      <c r="O25" s="89">
        <v>6050055.4000800001</v>
      </c>
      <c r="P25" s="89">
        <v>6215936.9556</v>
      </c>
      <c r="Q25" s="89">
        <v>6274694</v>
      </c>
      <c r="R25" s="89">
        <v>6332600</v>
      </c>
      <c r="S25" s="89">
        <v>6353283</v>
      </c>
      <c r="T25" s="89">
        <v>6488541</v>
      </c>
      <c r="U25" s="89">
        <v>1952978</v>
      </c>
      <c r="V25" s="89">
        <v>2073487</v>
      </c>
      <c r="W25" s="89">
        <v>2113269</v>
      </c>
      <c r="X25" s="89">
        <v>2124819</v>
      </c>
      <c r="Y25" s="89">
        <v>2162729</v>
      </c>
      <c r="Z25" s="89">
        <v>2372138</v>
      </c>
      <c r="AA25" s="89">
        <v>2485341</v>
      </c>
      <c r="AB25" s="89">
        <v>2565587</v>
      </c>
      <c r="AC25" s="89">
        <v>2643761</v>
      </c>
      <c r="AD25" s="90"/>
      <c r="AE25" s="90"/>
      <c r="AF25" s="90"/>
    </row>
    <row r="26" spans="1:32" s="91" customFormat="1" ht="15.95" customHeight="1" x14ac:dyDescent="0.2">
      <c r="A26" s="87" t="s">
        <v>77</v>
      </c>
      <c r="B26" s="87" t="s">
        <v>27</v>
      </c>
      <c r="C26" s="88" t="s">
        <v>75</v>
      </c>
      <c r="D26" s="89">
        <v>11622.2</v>
      </c>
      <c r="E26" s="89">
        <v>13277</v>
      </c>
      <c r="F26" s="89">
        <v>10153.25</v>
      </c>
      <c r="G26" s="89">
        <v>10367.299999999999</v>
      </c>
      <c r="H26" s="89">
        <v>10874</v>
      </c>
      <c r="I26" s="89">
        <v>9549.5770000000011</v>
      </c>
      <c r="J26" s="89">
        <v>10755.761</v>
      </c>
      <c r="K26" s="89">
        <v>9661.3115700000017</v>
      </c>
      <c r="L26" s="89">
        <v>10665.912</v>
      </c>
      <c r="M26" s="89">
        <v>10014.4</v>
      </c>
      <c r="N26" s="89">
        <v>9285.4320499999994</v>
      </c>
      <c r="O26" s="89">
        <v>9501</v>
      </c>
      <c r="P26" s="89">
        <v>5724.4504900000002</v>
      </c>
      <c r="Q26" s="89">
        <v>8388</v>
      </c>
      <c r="R26" s="89">
        <v>6990</v>
      </c>
      <c r="S26" s="89">
        <v>6572</v>
      </c>
      <c r="T26" s="89">
        <v>6084</v>
      </c>
      <c r="U26" s="89">
        <v>5273.0780000000004</v>
      </c>
      <c r="V26" s="89">
        <v>6083.9999999999991</v>
      </c>
      <c r="W26" s="89">
        <v>162366.53951</v>
      </c>
      <c r="X26" s="89">
        <v>165582.54</v>
      </c>
      <c r="Y26" s="89">
        <v>158864.53951</v>
      </c>
      <c r="Z26" s="89">
        <v>178875.79213312559</v>
      </c>
      <c r="AA26" s="89">
        <v>189363.53951</v>
      </c>
      <c r="AB26" s="89">
        <v>199049.53951</v>
      </c>
      <c r="AC26" s="89">
        <v>205020.54</v>
      </c>
      <c r="AD26" s="90"/>
      <c r="AE26" s="90"/>
      <c r="AF26" s="90"/>
    </row>
    <row r="27" spans="1:32" s="91" customFormat="1" ht="15.95" customHeight="1" x14ac:dyDescent="0.2">
      <c r="A27" s="87" t="s">
        <v>200</v>
      </c>
      <c r="B27" s="87" t="s">
        <v>201</v>
      </c>
      <c r="C27" s="88" t="s">
        <v>199</v>
      </c>
      <c r="D27" s="89" t="s">
        <v>154</v>
      </c>
      <c r="E27" s="89">
        <v>53495</v>
      </c>
      <c r="F27" s="89">
        <v>51444.805529999998</v>
      </c>
      <c r="G27" s="89">
        <v>49394.2</v>
      </c>
      <c r="H27" s="89">
        <v>47343</v>
      </c>
      <c r="I27" s="89">
        <v>16212.24</v>
      </c>
      <c r="J27" s="89">
        <v>15543</v>
      </c>
      <c r="K27" s="89">
        <v>0</v>
      </c>
      <c r="L27" s="89">
        <v>0</v>
      </c>
      <c r="M27" s="89" t="s">
        <v>154</v>
      </c>
      <c r="N27" s="89" t="s">
        <v>154</v>
      </c>
      <c r="O27" s="89" t="s">
        <v>154</v>
      </c>
      <c r="P27" s="89" t="s">
        <v>154</v>
      </c>
      <c r="Q27" s="89" t="s">
        <v>154</v>
      </c>
      <c r="R27" s="89" t="s">
        <v>154</v>
      </c>
      <c r="S27" s="89" t="s">
        <v>154</v>
      </c>
      <c r="T27" s="89" t="s">
        <v>154</v>
      </c>
      <c r="U27" s="89" t="s">
        <v>154</v>
      </c>
      <c r="V27" s="89" t="s">
        <v>154</v>
      </c>
      <c r="W27" s="89" t="s">
        <v>154</v>
      </c>
      <c r="X27" s="89" t="s">
        <v>154</v>
      </c>
      <c r="Y27" s="89" t="s">
        <v>154</v>
      </c>
      <c r="Z27" s="89" t="s">
        <v>154</v>
      </c>
      <c r="AA27" s="89" t="s">
        <v>154</v>
      </c>
      <c r="AB27" s="89" t="s">
        <v>154</v>
      </c>
      <c r="AC27" s="89" t="s">
        <v>154</v>
      </c>
      <c r="AD27" s="90"/>
      <c r="AE27" s="90"/>
      <c r="AF27" s="90"/>
    </row>
    <row r="28" spans="1:32" s="91" customFormat="1" ht="15.95" customHeight="1" x14ac:dyDescent="0.2">
      <c r="A28" s="87" t="s">
        <v>174</v>
      </c>
      <c r="B28" s="87" t="s">
        <v>175</v>
      </c>
      <c r="C28" s="88" t="s">
        <v>198</v>
      </c>
      <c r="D28" s="89">
        <v>74368.06</v>
      </c>
      <c r="E28" s="89" t="s">
        <v>154</v>
      </c>
      <c r="F28" s="89" t="s">
        <v>154</v>
      </c>
      <c r="G28" s="89" t="s">
        <v>154</v>
      </c>
      <c r="H28" s="89" t="s">
        <v>154</v>
      </c>
      <c r="I28" s="89" t="s">
        <v>154</v>
      </c>
      <c r="J28" s="89" t="s">
        <v>154</v>
      </c>
      <c r="K28" s="89" t="s">
        <v>154</v>
      </c>
      <c r="L28" s="89" t="s">
        <v>154</v>
      </c>
      <c r="M28" s="89" t="s">
        <v>154</v>
      </c>
      <c r="N28" s="89" t="s">
        <v>154</v>
      </c>
      <c r="O28" s="89" t="s">
        <v>154</v>
      </c>
      <c r="P28" s="89" t="s">
        <v>154</v>
      </c>
      <c r="Q28" s="89" t="s">
        <v>154</v>
      </c>
      <c r="R28" s="89" t="s">
        <v>154</v>
      </c>
      <c r="S28" s="89" t="s">
        <v>154</v>
      </c>
      <c r="T28" s="89" t="s">
        <v>154</v>
      </c>
      <c r="U28" s="89" t="s">
        <v>154</v>
      </c>
      <c r="V28" s="89" t="s">
        <v>154</v>
      </c>
      <c r="W28" s="89" t="s">
        <v>154</v>
      </c>
      <c r="X28" s="89" t="s">
        <v>154</v>
      </c>
      <c r="Y28" s="89" t="s">
        <v>154</v>
      </c>
      <c r="Z28" s="89" t="s">
        <v>154</v>
      </c>
      <c r="AA28" s="89" t="s">
        <v>154</v>
      </c>
      <c r="AB28" s="89" t="s">
        <v>154</v>
      </c>
      <c r="AC28" s="89" t="s">
        <v>154</v>
      </c>
      <c r="AD28" s="90"/>
      <c r="AE28" s="90"/>
      <c r="AF28" s="90"/>
    </row>
    <row r="29" spans="1:32" s="91" customFormat="1" ht="15.95" customHeight="1" x14ac:dyDescent="0.2">
      <c r="A29" s="87" t="s">
        <v>72</v>
      </c>
      <c r="B29" s="87" t="s">
        <v>73</v>
      </c>
      <c r="C29" s="88" t="s">
        <v>36</v>
      </c>
      <c r="D29" s="89" t="s">
        <v>154</v>
      </c>
      <c r="E29" s="89" t="s">
        <v>154</v>
      </c>
      <c r="F29" s="89" t="s">
        <v>154</v>
      </c>
      <c r="G29" s="89" t="s">
        <v>154</v>
      </c>
      <c r="H29" s="89" t="s">
        <v>154</v>
      </c>
      <c r="I29" s="89" t="s">
        <v>154</v>
      </c>
      <c r="J29" s="89" t="s">
        <v>154</v>
      </c>
      <c r="K29" s="89" t="s">
        <v>154</v>
      </c>
      <c r="L29" s="89" t="s">
        <v>154</v>
      </c>
      <c r="M29" s="89" t="s">
        <v>154</v>
      </c>
      <c r="N29" s="89">
        <v>2297142</v>
      </c>
      <c r="O29" s="89">
        <v>1007640</v>
      </c>
      <c r="P29" s="89">
        <v>3637218</v>
      </c>
      <c r="Q29" s="89">
        <v>4804790</v>
      </c>
      <c r="R29" s="89">
        <v>5553857</v>
      </c>
      <c r="S29" s="89" t="s">
        <v>154</v>
      </c>
      <c r="T29" s="89" t="s">
        <v>154</v>
      </c>
      <c r="U29" s="89">
        <v>3202302</v>
      </c>
      <c r="V29" s="89">
        <v>2109103</v>
      </c>
      <c r="W29" s="89">
        <v>3055349</v>
      </c>
      <c r="X29" s="89">
        <v>10604065</v>
      </c>
      <c r="Y29" s="89">
        <v>5615439</v>
      </c>
      <c r="Z29" s="89">
        <v>4076913</v>
      </c>
      <c r="AA29" s="89">
        <v>5603654</v>
      </c>
      <c r="AB29" s="89">
        <v>6142268</v>
      </c>
      <c r="AC29" s="89">
        <v>6333692</v>
      </c>
      <c r="AD29" s="90"/>
      <c r="AE29" s="90"/>
      <c r="AF29" s="90"/>
    </row>
    <row r="30" spans="1:32" s="29" customFormat="1" ht="15.95" customHeight="1" x14ac:dyDescent="0.2">
      <c r="A30" s="26" t="s">
        <v>48</v>
      </c>
      <c r="B30" s="26" t="s">
        <v>46</v>
      </c>
      <c r="C30" s="27" t="s">
        <v>47</v>
      </c>
      <c r="D30" s="28" t="s">
        <v>154</v>
      </c>
      <c r="E30" s="28" t="s">
        <v>154</v>
      </c>
      <c r="F30" s="28" t="s">
        <v>154</v>
      </c>
      <c r="G30" s="28" t="s">
        <v>154</v>
      </c>
      <c r="H30" s="28" t="s">
        <v>154</v>
      </c>
      <c r="I30" s="28" t="s">
        <v>154</v>
      </c>
      <c r="J30" s="28" t="s">
        <v>154</v>
      </c>
      <c r="K30" s="28" t="s">
        <v>154</v>
      </c>
      <c r="L30" s="28" t="s">
        <v>154</v>
      </c>
      <c r="M30" s="28" t="s">
        <v>154</v>
      </c>
      <c r="N30" s="28" t="s">
        <v>154</v>
      </c>
      <c r="O30" s="28" t="s">
        <v>154</v>
      </c>
      <c r="P30" s="28" t="s">
        <v>154</v>
      </c>
      <c r="Q30" s="28" t="s">
        <v>154</v>
      </c>
      <c r="R30" s="28">
        <v>0</v>
      </c>
      <c r="S30" s="28">
        <v>1567193.43802</v>
      </c>
      <c r="T30" s="28">
        <v>1576730.55804</v>
      </c>
      <c r="U30" s="28">
        <v>1462044.7655499999</v>
      </c>
      <c r="V30" s="28">
        <v>1416716.54226</v>
      </c>
      <c r="W30" s="28">
        <v>1475142.3955999999</v>
      </c>
      <c r="X30" s="28">
        <v>1329446.07489</v>
      </c>
      <c r="Y30" s="28">
        <v>1292331.3132100001</v>
      </c>
      <c r="Z30" s="28">
        <v>806429.44529000018</v>
      </c>
      <c r="AA30" s="28">
        <v>708164.98084999993</v>
      </c>
      <c r="AB30" s="28">
        <v>582019.40523350006</v>
      </c>
      <c r="AC30" s="28">
        <v>399524.96946029575</v>
      </c>
      <c r="AD30" s="5"/>
      <c r="AE30" s="5"/>
      <c r="AF30" s="5"/>
    </row>
    <row r="31" spans="1:32" s="25" customFormat="1" ht="15.95" customHeight="1" x14ac:dyDescent="0.2">
      <c r="A31" s="30" t="s">
        <v>93</v>
      </c>
      <c r="B31" s="30" t="s">
        <v>94</v>
      </c>
      <c r="C31" s="31" t="s">
        <v>15</v>
      </c>
      <c r="D31" s="32">
        <v>3564267</v>
      </c>
      <c r="E31" s="32">
        <v>3341927</v>
      </c>
      <c r="F31" s="32">
        <v>4340485</v>
      </c>
      <c r="G31" s="32">
        <v>4427927.24</v>
      </c>
      <c r="H31" s="32">
        <v>7518194.8703899998</v>
      </c>
      <c r="I31" s="32">
        <v>8891570.5242899992</v>
      </c>
      <c r="J31" s="32">
        <v>9584771</v>
      </c>
      <c r="K31" s="32">
        <v>10475033</v>
      </c>
      <c r="L31" s="32">
        <v>9307881.6225400008</v>
      </c>
      <c r="M31" s="32">
        <v>9246429.580289999</v>
      </c>
      <c r="N31" s="32">
        <v>10520788.885530001</v>
      </c>
      <c r="O31" s="32">
        <v>12715976.029860949</v>
      </c>
      <c r="P31" s="32">
        <v>11279717.07193711</v>
      </c>
      <c r="Q31" s="32">
        <v>11551347</v>
      </c>
      <c r="R31" s="32">
        <v>11971407.950524976</v>
      </c>
      <c r="S31" s="32">
        <v>5602307.140053574</v>
      </c>
      <c r="T31" s="32">
        <v>6299595</v>
      </c>
      <c r="U31" s="32">
        <v>11523565.235529801</v>
      </c>
      <c r="V31" s="32">
        <v>12458614.342577601</v>
      </c>
      <c r="W31" s="32">
        <v>13276347.998264849</v>
      </c>
      <c r="X31" s="32">
        <v>14419284.86779432</v>
      </c>
      <c r="Y31" s="32">
        <v>16882728</v>
      </c>
      <c r="Z31" s="32">
        <v>17265763</v>
      </c>
      <c r="AA31" s="32">
        <v>19361510</v>
      </c>
      <c r="AB31" s="32">
        <v>21367348.035290111</v>
      </c>
      <c r="AC31" s="32">
        <v>21869442.880607951</v>
      </c>
      <c r="AD31" s="24">
        <f>AC31/AC58</f>
        <v>0.21356734725736684</v>
      </c>
      <c r="AE31" s="24"/>
      <c r="AF31" s="24"/>
    </row>
    <row r="32" spans="1:32" s="29" customFormat="1" ht="15.95" customHeight="1" x14ac:dyDescent="0.2">
      <c r="A32" s="26" t="s">
        <v>159</v>
      </c>
      <c r="B32" s="26" t="s">
        <v>160</v>
      </c>
      <c r="C32" s="27" t="s">
        <v>161</v>
      </c>
      <c r="D32" s="28">
        <v>3564267</v>
      </c>
      <c r="E32" s="28">
        <v>3333285</v>
      </c>
      <c r="F32" s="28">
        <v>4250675</v>
      </c>
      <c r="G32" s="28">
        <v>4313503.24</v>
      </c>
      <c r="H32" s="34">
        <v>7269273.0959799998</v>
      </c>
      <c r="I32" s="34">
        <v>8389519</v>
      </c>
      <c r="J32" s="34">
        <v>8499130</v>
      </c>
      <c r="K32" s="34">
        <v>9063661</v>
      </c>
      <c r="L32" s="34">
        <v>8620424.3068000004</v>
      </c>
      <c r="M32" s="34">
        <v>8524868.6490599997</v>
      </c>
      <c r="N32" s="28">
        <v>9793565.7478200011</v>
      </c>
      <c r="O32" s="28">
        <v>11970030.048350951</v>
      </c>
      <c r="P32" s="28">
        <v>10447036.69232345</v>
      </c>
      <c r="Q32" s="28">
        <v>10646165</v>
      </c>
      <c r="R32" s="28">
        <v>10829393.950524976</v>
      </c>
      <c r="S32" s="28">
        <v>4642438.140053574</v>
      </c>
      <c r="T32" s="28">
        <v>4061191</v>
      </c>
      <c r="U32" s="28">
        <v>8893050.235529799</v>
      </c>
      <c r="V32" s="28">
        <v>9635501.7870775964</v>
      </c>
      <c r="W32" s="28">
        <v>10317046.858199</v>
      </c>
      <c r="X32" s="28">
        <v>11278573.916555829</v>
      </c>
      <c r="Y32" s="28">
        <v>13591924</v>
      </c>
      <c r="Z32" s="28">
        <v>13870673.48</v>
      </c>
      <c r="AA32" s="28">
        <v>15714550</v>
      </c>
      <c r="AB32" s="28">
        <v>15418908</v>
      </c>
      <c r="AC32" s="28">
        <v>16168547.2488</v>
      </c>
      <c r="AD32" s="5"/>
      <c r="AE32" s="5"/>
      <c r="AF32" s="5"/>
    </row>
    <row r="33" spans="1:32" s="98" customFormat="1" ht="15.95" customHeight="1" x14ac:dyDescent="0.2">
      <c r="A33" s="92" t="s">
        <v>184</v>
      </c>
      <c r="B33" s="93" t="s">
        <v>185</v>
      </c>
      <c r="C33" s="94" t="s">
        <v>186</v>
      </c>
      <c r="D33" s="95">
        <v>3564267</v>
      </c>
      <c r="E33" s="95">
        <v>3333285</v>
      </c>
      <c r="F33" s="95">
        <v>4250675</v>
      </c>
      <c r="G33" s="95">
        <v>4313503.24</v>
      </c>
      <c r="H33" s="96">
        <v>7268804.8764599999</v>
      </c>
      <c r="I33" s="96">
        <v>8142519</v>
      </c>
      <c r="J33" s="96">
        <v>8499130</v>
      </c>
      <c r="K33" s="96">
        <v>9063661</v>
      </c>
      <c r="L33" s="96">
        <v>8045114.3068000004</v>
      </c>
      <c r="M33" s="96">
        <v>7575805.6490599997</v>
      </c>
      <c r="N33" s="95">
        <v>8017114.7478200002</v>
      </c>
      <c r="O33" s="95">
        <v>9057661.0483509507</v>
      </c>
      <c r="P33" s="95">
        <v>9121338.69232345</v>
      </c>
      <c r="Q33" s="95">
        <v>9335538</v>
      </c>
      <c r="R33" s="95">
        <v>9246971.9505249765</v>
      </c>
      <c r="S33" s="95">
        <v>4642438.140053574</v>
      </c>
      <c r="T33" s="95">
        <v>4061191</v>
      </c>
      <c r="U33" s="95">
        <v>0</v>
      </c>
      <c r="V33" s="95">
        <v>0</v>
      </c>
      <c r="W33" s="95">
        <v>0</v>
      </c>
      <c r="X33" s="95">
        <v>0</v>
      </c>
      <c r="Y33" s="95">
        <v>0</v>
      </c>
      <c r="Z33" s="95">
        <v>0</v>
      </c>
      <c r="AA33" s="95">
        <v>0</v>
      </c>
      <c r="AB33" s="95">
        <v>0</v>
      </c>
      <c r="AC33" s="95">
        <v>0</v>
      </c>
      <c r="AD33" s="97"/>
      <c r="AE33" s="97"/>
      <c r="AF33" s="97"/>
    </row>
    <row r="34" spans="1:32" s="91" customFormat="1" ht="15.95" customHeight="1" x14ac:dyDescent="0.2">
      <c r="A34" s="92" t="s">
        <v>187</v>
      </c>
      <c r="B34" s="93" t="s">
        <v>188</v>
      </c>
      <c r="C34" s="88" t="s">
        <v>189</v>
      </c>
      <c r="D34" s="89" t="s">
        <v>154</v>
      </c>
      <c r="E34" s="89" t="s">
        <v>154</v>
      </c>
      <c r="F34" s="89" t="s">
        <v>154</v>
      </c>
      <c r="G34" s="89" t="s">
        <v>154</v>
      </c>
      <c r="H34" s="99">
        <v>468.21951999999999</v>
      </c>
      <c r="I34" s="99" t="s">
        <v>154</v>
      </c>
      <c r="J34" s="99" t="s">
        <v>154</v>
      </c>
      <c r="K34" s="99" t="s">
        <v>154</v>
      </c>
      <c r="L34" s="99" t="s">
        <v>154</v>
      </c>
      <c r="M34" s="99" t="s">
        <v>154</v>
      </c>
      <c r="N34" s="89" t="s">
        <v>154</v>
      </c>
      <c r="O34" s="89" t="s">
        <v>154</v>
      </c>
      <c r="P34" s="89" t="s">
        <v>154</v>
      </c>
      <c r="Q34" s="89" t="s">
        <v>154</v>
      </c>
      <c r="R34" s="89" t="s">
        <v>154</v>
      </c>
      <c r="S34" s="89" t="s">
        <v>154</v>
      </c>
      <c r="T34" s="89" t="s">
        <v>154</v>
      </c>
      <c r="U34" s="89" t="s">
        <v>154</v>
      </c>
      <c r="V34" s="89" t="s">
        <v>154</v>
      </c>
      <c r="W34" s="89" t="s">
        <v>154</v>
      </c>
      <c r="X34" s="89" t="s">
        <v>154</v>
      </c>
      <c r="Y34" s="89" t="s">
        <v>154</v>
      </c>
      <c r="Z34" s="89" t="s">
        <v>154</v>
      </c>
      <c r="AA34" s="89" t="s">
        <v>154</v>
      </c>
      <c r="AB34" s="89" t="s">
        <v>154</v>
      </c>
      <c r="AC34" s="89" t="s">
        <v>154</v>
      </c>
      <c r="AD34" s="90"/>
      <c r="AE34" s="90"/>
      <c r="AF34" s="90"/>
    </row>
    <row r="35" spans="1:32" s="91" customFormat="1" ht="15.95" customHeight="1" x14ac:dyDescent="0.2">
      <c r="A35" s="92" t="s">
        <v>190</v>
      </c>
      <c r="B35" s="93" t="s">
        <v>191</v>
      </c>
      <c r="C35" s="88" t="s">
        <v>192</v>
      </c>
      <c r="D35" s="89" t="s">
        <v>154</v>
      </c>
      <c r="E35" s="89" t="s">
        <v>154</v>
      </c>
      <c r="F35" s="89" t="s">
        <v>154</v>
      </c>
      <c r="G35" s="89" t="s">
        <v>154</v>
      </c>
      <c r="H35" s="99" t="s">
        <v>154</v>
      </c>
      <c r="I35" s="99">
        <v>247000</v>
      </c>
      <c r="J35" s="99" t="s">
        <v>154</v>
      </c>
      <c r="K35" s="99" t="s">
        <v>154</v>
      </c>
      <c r="L35" s="99" t="s">
        <v>154</v>
      </c>
      <c r="M35" s="99" t="s">
        <v>154</v>
      </c>
      <c r="N35" s="89" t="s">
        <v>154</v>
      </c>
      <c r="O35" s="89" t="s">
        <v>154</v>
      </c>
      <c r="P35" s="89" t="s">
        <v>154</v>
      </c>
      <c r="Q35" s="89" t="s">
        <v>154</v>
      </c>
      <c r="R35" s="89" t="s">
        <v>154</v>
      </c>
      <c r="S35" s="89" t="s">
        <v>154</v>
      </c>
      <c r="T35" s="89" t="s">
        <v>154</v>
      </c>
      <c r="U35" s="89" t="s">
        <v>154</v>
      </c>
      <c r="V35" s="89" t="s">
        <v>154</v>
      </c>
      <c r="W35" s="89" t="s">
        <v>154</v>
      </c>
      <c r="X35" s="89" t="s">
        <v>154</v>
      </c>
      <c r="Y35" s="89" t="s">
        <v>154</v>
      </c>
      <c r="Z35" s="89" t="s">
        <v>154</v>
      </c>
      <c r="AA35" s="89" t="s">
        <v>154</v>
      </c>
      <c r="AB35" s="89" t="s">
        <v>154</v>
      </c>
      <c r="AC35" s="89" t="s">
        <v>154</v>
      </c>
      <c r="AD35" s="90"/>
      <c r="AE35" s="90"/>
      <c r="AF35" s="90"/>
    </row>
    <row r="36" spans="1:32" s="103" customFormat="1" ht="13.35" customHeight="1" x14ac:dyDescent="0.2">
      <c r="A36" s="92" t="s">
        <v>39</v>
      </c>
      <c r="B36" s="93" t="s">
        <v>30</v>
      </c>
      <c r="C36" s="100" t="s">
        <v>163</v>
      </c>
      <c r="D36" s="101" t="s">
        <v>154</v>
      </c>
      <c r="E36" s="102" t="s">
        <v>154</v>
      </c>
      <c r="F36" s="102" t="s">
        <v>154</v>
      </c>
      <c r="G36" s="102" t="s">
        <v>154</v>
      </c>
      <c r="H36" s="102" t="s">
        <v>154</v>
      </c>
      <c r="I36" s="102" t="s">
        <v>154</v>
      </c>
      <c r="J36" s="102" t="s">
        <v>154</v>
      </c>
      <c r="K36" s="102" t="s">
        <v>154</v>
      </c>
      <c r="L36" s="89">
        <v>575310</v>
      </c>
      <c r="M36" s="89">
        <v>949063</v>
      </c>
      <c r="N36" s="89">
        <v>1776451</v>
      </c>
      <c r="O36" s="89">
        <v>2912369</v>
      </c>
      <c r="P36" s="89">
        <v>1325698</v>
      </c>
      <c r="Q36" s="89">
        <v>1310627</v>
      </c>
      <c r="R36" s="89">
        <v>1582422</v>
      </c>
      <c r="S36" s="103" t="s">
        <v>154</v>
      </c>
      <c r="T36" s="103">
        <v>0</v>
      </c>
      <c r="U36" s="89">
        <v>3687542</v>
      </c>
      <c r="V36" s="89">
        <v>4026028</v>
      </c>
      <c r="W36" s="89">
        <v>4466005</v>
      </c>
      <c r="X36" s="89">
        <v>5268921</v>
      </c>
      <c r="Y36" s="89">
        <v>6870567</v>
      </c>
      <c r="Z36" s="89">
        <v>6654846</v>
      </c>
      <c r="AA36" s="89">
        <v>7193661</v>
      </c>
      <c r="AB36" s="89">
        <v>6841012</v>
      </c>
      <c r="AC36" s="89">
        <v>7330741</v>
      </c>
    </row>
    <row r="37" spans="1:32" s="103" customFormat="1" ht="13.35" customHeight="1" x14ac:dyDescent="0.2">
      <c r="A37" s="92" t="s">
        <v>193</v>
      </c>
      <c r="B37" s="93" t="s">
        <v>197</v>
      </c>
      <c r="C37" s="100" t="s">
        <v>162</v>
      </c>
      <c r="D37" s="101" t="s">
        <v>154</v>
      </c>
      <c r="E37" s="102" t="s">
        <v>154</v>
      </c>
      <c r="F37" s="102" t="s">
        <v>154</v>
      </c>
      <c r="G37" s="102" t="s">
        <v>154</v>
      </c>
      <c r="H37" s="102" t="s">
        <v>154</v>
      </c>
      <c r="I37" s="102" t="s">
        <v>154</v>
      </c>
      <c r="J37" s="102" t="s">
        <v>154</v>
      </c>
      <c r="K37" s="102" t="s">
        <v>154</v>
      </c>
      <c r="L37" s="102" t="s">
        <v>154</v>
      </c>
      <c r="M37" s="102" t="s">
        <v>154</v>
      </c>
      <c r="N37" s="102" t="s">
        <v>154</v>
      </c>
      <c r="O37" s="104" t="s">
        <v>154</v>
      </c>
      <c r="P37" s="86" t="s">
        <v>154</v>
      </c>
      <c r="Q37" s="105" t="s">
        <v>154</v>
      </c>
      <c r="R37" s="106" t="s">
        <v>154</v>
      </c>
      <c r="S37" s="103" t="s">
        <v>154</v>
      </c>
      <c r="T37" s="103" t="s">
        <v>154</v>
      </c>
      <c r="U37" s="89">
        <v>4026008.2355297999</v>
      </c>
      <c r="V37" s="89">
        <v>4160373.7870775969</v>
      </c>
      <c r="W37" s="89">
        <v>4219241.8581990004</v>
      </c>
      <c r="X37" s="89">
        <v>4102452.9165558279</v>
      </c>
      <c r="Y37" s="89">
        <v>6721357</v>
      </c>
      <c r="Z37" s="89">
        <v>7215827.4800000004</v>
      </c>
      <c r="AA37" s="89">
        <v>8520889</v>
      </c>
      <c r="AB37" s="89">
        <v>8577896</v>
      </c>
      <c r="AC37" s="89">
        <v>8837806.2488000002</v>
      </c>
    </row>
    <row r="38" spans="1:32" s="103" customFormat="1" ht="13.35" customHeight="1" x14ac:dyDescent="0.2">
      <c r="A38" s="92" t="s">
        <v>194</v>
      </c>
      <c r="B38" s="93" t="s">
        <v>194</v>
      </c>
      <c r="C38" s="100" t="s">
        <v>176</v>
      </c>
      <c r="D38" s="101" t="s">
        <v>154</v>
      </c>
      <c r="E38" s="102" t="s">
        <v>154</v>
      </c>
      <c r="F38" s="102" t="s">
        <v>154</v>
      </c>
      <c r="G38" s="102" t="s">
        <v>154</v>
      </c>
      <c r="H38" s="102" t="s">
        <v>154</v>
      </c>
      <c r="I38" s="102" t="s">
        <v>154</v>
      </c>
      <c r="J38" s="102" t="s">
        <v>154</v>
      </c>
      <c r="K38" s="102" t="s">
        <v>154</v>
      </c>
      <c r="L38" s="102" t="s">
        <v>154</v>
      </c>
      <c r="M38" s="102" t="s">
        <v>154</v>
      </c>
      <c r="N38" s="102" t="s">
        <v>154</v>
      </c>
      <c r="O38" s="104" t="s">
        <v>154</v>
      </c>
      <c r="P38" s="86" t="s">
        <v>154</v>
      </c>
      <c r="Q38" s="105" t="s">
        <v>154</v>
      </c>
      <c r="R38" s="106" t="s">
        <v>154</v>
      </c>
      <c r="S38" s="103" t="s">
        <v>154</v>
      </c>
      <c r="T38" s="103" t="s">
        <v>154</v>
      </c>
      <c r="U38" s="89">
        <v>1179500</v>
      </c>
      <c r="V38" s="89">
        <v>1449100</v>
      </c>
      <c r="W38" s="89">
        <v>1631800</v>
      </c>
      <c r="X38" s="89">
        <v>1907200</v>
      </c>
      <c r="Y38" s="89">
        <v>0</v>
      </c>
      <c r="Z38" s="89" t="s">
        <v>154</v>
      </c>
      <c r="AA38" s="89" t="s">
        <v>154</v>
      </c>
      <c r="AB38" s="89" t="s">
        <v>154</v>
      </c>
      <c r="AC38" s="89" t="s">
        <v>154</v>
      </c>
    </row>
    <row r="39" spans="1:32" s="29" customFormat="1" ht="15.95" customHeight="1" x14ac:dyDescent="0.2">
      <c r="A39" s="26" t="s">
        <v>164</v>
      </c>
      <c r="B39" s="77" t="s">
        <v>165</v>
      </c>
      <c r="C39" s="78" t="s">
        <v>166</v>
      </c>
      <c r="D39" s="28" t="s">
        <v>154</v>
      </c>
      <c r="E39" s="28" t="s">
        <v>154</v>
      </c>
      <c r="F39" s="28" t="s">
        <v>154</v>
      </c>
      <c r="G39" s="28" t="s">
        <v>154</v>
      </c>
      <c r="H39" s="34" t="s">
        <v>154</v>
      </c>
      <c r="I39" s="34" t="s">
        <v>154</v>
      </c>
      <c r="J39" s="34">
        <v>348606</v>
      </c>
      <c r="K39" s="34">
        <v>441382</v>
      </c>
      <c r="L39" s="34">
        <v>444792.16363000002</v>
      </c>
      <c r="M39" s="34">
        <v>411906.25414999999</v>
      </c>
      <c r="N39" s="28">
        <v>418084.84795999998</v>
      </c>
      <c r="O39" s="28">
        <v>434293.77565999998</v>
      </c>
      <c r="P39" s="28">
        <v>478949.56</v>
      </c>
      <c r="Q39" s="28">
        <v>560975</v>
      </c>
      <c r="R39" s="28">
        <v>711854</v>
      </c>
      <c r="S39" s="28">
        <v>566674</v>
      </c>
      <c r="T39" s="28">
        <v>1820668</v>
      </c>
      <c r="U39" s="28">
        <v>2630515</v>
      </c>
      <c r="V39" s="28">
        <v>2823112.5554999998</v>
      </c>
      <c r="W39" s="28">
        <v>2959301.1400658502</v>
      </c>
      <c r="X39" s="28">
        <v>3140710.9512384948</v>
      </c>
      <c r="Y39" s="28">
        <v>3290804</v>
      </c>
      <c r="Z39" s="28">
        <v>3395089.52</v>
      </c>
      <c r="AA39" s="28">
        <v>3646960</v>
      </c>
      <c r="AB39" s="28">
        <v>5948440.0352901099</v>
      </c>
      <c r="AC39" s="28">
        <v>5700895.6318079503</v>
      </c>
      <c r="AD39" s="5"/>
      <c r="AE39" s="5"/>
      <c r="AF39" s="5"/>
    </row>
    <row r="40" spans="1:32" s="103" customFormat="1" ht="13.35" customHeight="1" x14ac:dyDescent="0.2">
      <c r="A40" s="92" t="s">
        <v>195</v>
      </c>
      <c r="B40" s="93" t="s">
        <v>196</v>
      </c>
      <c r="C40" s="100" t="s">
        <v>167</v>
      </c>
      <c r="D40" s="101" t="s">
        <v>154</v>
      </c>
      <c r="E40" s="102" t="s">
        <v>154</v>
      </c>
      <c r="F40" s="102" t="s">
        <v>154</v>
      </c>
      <c r="G40" s="102" t="s">
        <v>154</v>
      </c>
      <c r="H40" s="102" t="s">
        <v>154</v>
      </c>
      <c r="I40" s="102" t="s">
        <v>154</v>
      </c>
      <c r="J40" s="102">
        <v>348606</v>
      </c>
      <c r="K40" s="102">
        <v>441382</v>
      </c>
      <c r="L40" s="102">
        <v>444792.16363000002</v>
      </c>
      <c r="M40" s="102">
        <v>411906.25414999999</v>
      </c>
      <c r="N40" s="102">
        <v>418084.84795999998</v>
      </c>
      <c r="O40" s="104">
        <v>434293.77565999998</v>
      </c>
      <c r="P40" s="104">
        <v>478949.56</v>
      </c>
      <c r="Q40" s="104">
        <v>560975</v>
      </c>
      <c r="R40" s="107">
        <v>711854</v>
      </c>
      <c r="S40" s="107">
        <v>566674</v>
      </c>
      <c r="T40" s="107">
        <v>1820668</v>
      </c>
      <c r="U40" s="107">
        <v>1937715</v>
      </c>
      <c r="V40" s="107">
        <v>1972012.5555</v>
      </c>
      <c r="W40" s="107">
        <v>2001001.14006585</v>
      </c>
      <c r="X40" s="107">
        <v>2020610.9512384951</v>
      </c>
      <c r="Y40" s="107">
        <v>3290804</v>
      </c>
      <c r="Z40" s="107">
        <v>3395089.52</v>
      </c>
      <c r="AA40" s="107">
        <v>3646960</v>
      </c>
      <c r="AB40" s="107">
        <v>5948440.0352901099</v>
      </c>
      <c r="AC40" s="107">
        <v>5700895.6318079503</v>
      </c>
    </row>
    <row r="41" spans="1:32" s="103" customFormat="1" ht="13.35" customHeight="1" x14ac:dyDescent="0.2">
      <c r="A41" s="92" t="s">
        <v>194</v>
      </c>
      <c r="B41" s="93" t="s">
        <v>194</v>
      </c>
      <c r="C41" s="100" t="s">
        <v>177</v>
      </c>
      <c r="D41" s="101" t="s">
        <v>154</v>
      </c>
      <c r="E41" s="102" t="s">
        <v>154</v>
      </c>
      <c r="F41" s="102" t="s">
        <v>154</v>
      </c>
      <c r="G41" s="102" t="s">
        <v>154</v>
      </c>
      <c r="H41" s="102" t="s">
        <v>154</v>
      </c>
      <c r="I41" s="102" t="s">
        <v>154</v>
      </c>
      <c r="J41" s="102" t="s">
        <v>154</v>
      </c>
      <c r="K41" s="102" t="s">
        <v>154</v>
      </c>
      <c r="L41" s="102" t="s">
        <v>154</v>
      </c>
      <c r="M41" s="102" t="s">
        <v>154</v>
      </c>
      <c r="N41" s="102" t="s">
        <v>154</v>
      </c>
      <c r="O41" s="104" t="s">
        <v>154</v>
      </c>
      <c r="P41" s="86" t="s">
        <v>154</v>
      </c>
      <c r="Q41" s="105" t="s">
        <v>154</v>
      </c>
      <c r="R41" s="106" t="s">
        <v>154</v>
      </c>
      <c r="S41" s="103" t="s">
        <v>154</v>
      </c>
      <c r="T41" s="103" t="s">
        <v>154</v>
      </c>
      <c r="U41" s="107">
        <v>692800</v>
      </c>
      <c r="V41" s="107">
        <v>851100</v>
      </c>
      <c r="W41" s="107">
        <v>958300</v>
      </c>
      <c r="X41" s="107">
        <v>1120100</v>
      </c>
      <c r="Y41" s="107">
        <v>0</v>
      </c>
      <c r="Z41" s="107" t="s">
        <v>154</v>
      </c>
      <c r="AA41" s="107" t="s">
        <v>154</v>
      </c>
      <c r="AB41" s="107" t="s">
        <v>154</v>
      </c>
      <c r="AC41" s="107" t="s">
        <v>154</v>
      </c>
    </row>
    <row r="42" spans="1:32" s="29" customFormat="1" ht="15.95" customHeight="1" x14ac:dyDescent="0.2">
      <c r="A42" s="26" t="s">
        <v>168</v>
      </c>
      <c r="B42" s="26" t="s">
        <v>169</v>
      </c>
      <c r="C42" s="27" t="s">
        <v>170</v>
      </c>
      <c r="D42" s="28" t="s">
        <v>154</v>
      </c>
      <c r="E42" s="28">
        <v>8642</v>
      </c>
      <c r="F42" s="28">
        <v>89810</v>
      </c>
      <c r="G42" s="28">
        <v>64424</v>
      </c>
      <c r="H42" s="34">
        <v>54073</v>
      </c>
      <c r="I42" s="34">
        <v>32008.346750000001</v>
      </c>
      <c r="J42" s="34">
        <v>36284</v>
      </c>
      <c r="K42" s="34">
        <v>35380</v>
      </c>
      <c r="L42" s="34">
        <v>50388.94195</v>
      </c>
      <c r="M42" s="34">
        <v>68536.995790000001</v>
      </c>
      <c r="N42" s="28">
        <v>77196.158909999998</v>
      </c>
      <c r="O42" s="28">
        <v>74500.311350000004</v>
      </c>
      <c r="P42" s="28">
        <v>112972</v>
      </c>
      <c r="Q42" s="28">
        <v>119569</v>
      </c>
      <c r="R42" s="28">
        <v>155024</v>
      </c>
      <c r="S42" s="28">
        <v>145932</v>
      </c>
      <c r="T42" s="28">
        <v>170521</v>
      </c>
      <c r="U42" s="28" t="s">
        <v>154</v>
      </c>
      <c r="V42" s="28" t="s">
        <v>154</v>
      </c>
      <c r="W42" s="28" t="s">
        <v>154</v>
      </c>
      <c r="X42" s="28" t="s">
        <v>154</v>
      </c>
      <c r="Y42" s="28" t="s">
        <v>154</v>
      </c>
      <c r="Z42" s="28" t="s">
        <v>154</v>
      </c>
      <c r="AA42" s="28" t="s">
        <v>154</v>
      </c>
      <c r="AB42" s="28" t="s">
        <v>154</v>
      </c>
      <c r="AC42" s="28" t="s">
        <v>154</v>
      </c>
      <c r="AD42" s="5"/>
      <c r="AE42" s="5"/>
      <c r="AF42" s="5"/>
    </row>
    <row r="43" spans="1:32" s="29" customFormat="1" ht="15.95" customHeight="1" x14ac:dyDescent="0.2">
      <c r="A43" s="26" t="s">
        <v>171</v>
      </c>
      <c r="B43" s="26" t="s">
        <v>172</v>
      </c>
      <c r="C43" s="27" t="s">
        <v>173</v>
      </c>
      <c r="D43" s="28" t="s">
        <v>154</v>
      </c>
      <c r="E43" s="28" t="s">
        <v>154</v>
      </c>
      <c r="F43" s="28" t="s">
        <v>154</v>
      </c>
      <c r="G43" s="28">
        <v>50000</v>
      </c>
      <c r="H43" s="34">
        <v>186570.77441000001</v>
      </c>
      <c r="I43" s="34">
        <v>454773.2</v>
      </c>
      <c r="J43" s="34">
        <v>686400</v>
      </c>
      <c r="K43" s="34">
        <v>791256</v>
      </c>
      <c r="L43" s="34">
        <v>56000</v>
      </c>
      <c r="M43" s="34">
        <v>59322.102079999997</v>
      </c>
      <c r="N43" s="28">
        <v>55979.691030000002</v>
      </c>
      <c r="O43" s="28">
        <v>58600</v>
      </c>
      <c r="P43" s="28">
        <v>63037.663613661221</v>
      </c>
      <c r="Q43" s="28">
        <v>63593</v>
      </c>
      <c r="R43" s="28">
        <v>62879</v>
      </c>
      <c r="S43" s="28">
        <v>62955</v>
      </c>
      <c r="T43" s="28">
        <v>63078</v>
      </c>
      <c r="U43" s="28" t="s">
        <v>154</v>
      </c>
      <c r="V43" s="28" t="s">
        <v>154</v>
      </c>
      <c r="W43" s="28" t="s">
        <v>154</v>
      </c>
      <c r="X43" s="28" t="s">
        <v>154</v>
      </c>
      <c r="Y43" s="28" t="s">
        <v>154</v>
      </c>
      <c r="Z43" s="28" t="s">
        <v>154</v>
      </c>
      <c r="AA43" s="28" t="s">
        <v>154</v>
      </c>
      <c r="AB43" s="28" t="s">
        <v>154</v>
      </c>
      <c r="AC43" s="28" t="s">
        <v>154</v>
      </c>
      <c r="AD43" s="5"/>
      <c r="AE43" s="5"/>
      <c r="AF43" s="5"/>
    </row>
    <row r="44" spans="1:32" s="29" customFormat="1" ht="15.95" customHeight="1" x14ac:dyDescent="0.2">
      <c r="A44" s="26" t="s">
        <v>178</v>
      </c>
      <c r="B44" s="26" t="s">
        <v>179</v>
      </c>
      <c r="C44" s="27" t="s">
        <v>180</v>
      </c>
      <c r="D44" s="28" t="s">
        <v>154</v>
      </c>
      <c r="E44" s="28" t="s">
        <v>154</v>
      </c>
      <c r="F44" s="28" t="s">
        <v>154</v>
      </c>
      <c r="G44" s="28" t="s">
        <v>154</v>
      </c>
      <c r="H44" s="34">
        <v>8278</v>
      </c>
      <c r="I44" s="34">
        <v>15269.97754</v>
      </c>
      <c r="J44" s="34">
        <v>14351</v>
      </c>
      <c r="K44" s="34">
        <v>17054</v>
      </c>
      <c r="L44" s="34">
        <v>10208.210160000001</v>
      </c>
      <c r="M44" s="34">
        <v>7561.71036</v>
      </c>
      <c r="N44" s="28">
        <v>4410.4819200000002</v>
      </c>
      <c r="O44" s="28">
        <v>6415.0306099999998</v>
      </c>
      <c r="P44" s="28">
        <v>2921.1559999999999</v>
      </c>
      <c r="Q44" s="28">
        <v>10960</v>
      </c>
      <c r="R44" s="28">
        <v>10298</v>
      </c>
      <c r="S44" s="28">
        <v>9641</v>
      </c>
      <c r="T44" s="28">
        <v>8288</v>
      </c>
      <c r="U44" s="28" t="s">
        <v>154</v>
      </c>
      <c r="V44" s="28" t="s">
        <v>154</v>
      </c>
      <c r="W44" s="28" t="s">
        <v>154</v>
      </c>
      <c r="X44" s="28" t="s">
        <v>154</v>
      </c>
      <c r="Y44" s="28" t="s">
        <v>154</v>
      </c>
      <c r="Z44" s="28" t="s">
        <v>154</v>
      </c>
      <c r="AA44" s="28" t="s">
        <v>154</v>
      </c>
      <c r="AB44" s="28" t="s">
        <v>154</v>
      </c>
      <c r="AC44" s="28" t="s">
        <v>154</v>
      </c>
      <c r="AD44" s="5"/>
      <c r="AE44" s="5"/>
      <c r="AF44" s="5"/>
    </row>
    <row r="45" spans="1:32" s="29" customFormat="1" ht="15.95" customHeight="1" x14ac:dyDescent="0.2">
      <c r="A45" s="26" t="s">
        <v>181</v>
      </c>
      <c r="B45" s="26" t="s">
        <v>182</v>
      </c>
      <c r="C45" s="27" t="s">
        <v>183</v>
      </c>
      <c r="D45" s="28" t="s">
        <v>154</v>
      </c>
      <c r="E45" s="28" t="s">
        <v>154</v>
      </c>
      <c r="F45" s="28" t="s">
        <v>154</v>
      </c>
      <c r="G45" s="28" t="s">
        <v>154</v>
      </c>
      <c r="H45" s="34" t="s">
        <v>154</v>
      </c>
      <c r="I45" s="34" t="s">
        <v>154</v>
      </c>
      <c r="J45" s="34">
        <v>0</v>
      </c>
      <c r="K45" s="34">
        <v>126300</v>
      </c>
      <c r="L45" s="34">
        <v>126068</v>
      </c>
      <c r="M45" s="34">
        <v>174233.86885</v>
      </c>
      <c r="N45" s="28">
        <v>171551.95788999999</v>
      </c>
      <c r="O45" s="28">
        <v>172136.86389000001</v>
      </c>
      <c r="P45" s="28">
        <v>174800</v>
      </c>
      <c r="Q45" s="28">
        <v>150085</v>
      </c>
      <c r="R45" s="28">
        <v>201959</v>
      </c>
      <c r="S45" s="28">
        <v>174667</v>
      </c>
      <c r="T45" s="28">
        <v>175849</v>
      </c>
      <c r="U45" s="28" t="s">
        <v>154</v>
      </c>
      <c r="V45" s="28" t="s">
        <v>154</v>
      </c>
      <c r="W45" s="28" t="s">
        <v>154</v>
      </c>
      <c r="X45" s="28" t="s">
        <v>154</v>
      </c>
      <c r="Y45" s="28" t="s">
        <v>154</v>
      </c>
      <c r="Z45" s="28" t="s">
        <v>154</v>
      </c>
      <c r="AA45" s="28" t="s">
        <v>154</v>
      </c>
      <c r="AB45" s="28" t="s">
        <v>154</v>
      </c>
      <c r="AC45" s="28" t="s">
        <v>154</v>
      </c>
      <c r="AD45" s="5"/>
      <c r="AE45" s="5"/>
      <c r="AF45" s="5"/>
    </row>
    <row r="46" spans="1:32" s="25" customFormat="1" ht="15.95" customHeight="1" x14ac:dyDescent="0.2">
      <c r="A46" s="30" t="s">
        <v>95</v>
      </c>
      <c r="B46" s="30" t="s">
        <v>96</v>
      </c>
      <c r="C46" s="31" t="s">
        <v>16</v>
      </c>
      <c r="D46" s="32">
        <v>1361203.953</v>
      </c>
      <c r="E46" s="32">
        <v>1409065.2705999999</v>
      </c>
      <c r="F46" s="32">
        <v>1553968.85088</v>
      </c>
      <c r="G46" s="32">
        <v>1609286.2389700001</v>
      </c>
      <c r="H46" s="32">
        <v>1866168.50602</v>
      </c>
      <c r="I46" s="32">
        <v>1964190.9304500001</v>
      </c>
      <c r="J46" s="32">
        <v>2037845.89</v>
      </c>
      <c r="K46" s="32">
        <v>2037836.54966</v>
      </c>
      <c r="L46" s="32">
        <v>1188153.47001</v>
      </c>
      <c r="M46" s="32">
        <v>1229734.3870600001</v>
      </c>
      <c r="N46" s="32">
        <v>1285421.45148</v>
      </c>
      <c r="O46" s="32">
        <v>1324350.4162900001</v>
      </c>
      <c r="P46" s="32">
        <v>1380147.4767199999</v>
      </c>
      <c r="Q46" s="32">
        <v>1386729.4615</v>
      </c>
      <c r="R46" s="32">
        <v>1386722.7123</v>
      </c>
      <c r="S46" s="32">
        <v>1414099.04926</v>
      </c>
      <c r="T46" s="32">
        <v>1496157.25288</v>
      </c>
      <c r="U46" s="32">
        <v>1531275.9262099999</v>
      </c>
      <c r="V46" s="32">
        <v>1574881.7724299999</v>
      </c>
      <c r="W46" s="32">
        <v>1598121.5096199999</v>
      </c>
      <c r="X46" s="32">
        <v>1546381.76651</v>
      </c>
      <c r="Y46" s="32">
        <v>1643826.3517</v>
      </c>
      <c r="Z46" s="32">
        <v>1703120.4745</v>
      </c>
      <c r="AA46" s="32">
        <v>1749676.9888599999</v>
      </c>
      <c r="AB46" s="32">
        <v>1781944.4960134802</v>
      </c>
      <c r="AC46" s="32">
        <v>1843194.9045106932</v>
      </c>
      <c r="AD46" s="24"/>
      <c r="AE46" s="24"/>
      <c r="AF46" s="24"/>
    </row>
    <row r="47" spans="1:32" s="82" customFormat="1" ht="13.35" customHeight="1" x14ac:dyDescent="0.2">
      <c r="A47" s="79" t="s">
        <v>202</v>
      </c>
      <c r="B47" s="79" t="s">
        <v>203</v>
      </c>
      <c r="C47" s="80" t="s">
        <v>204</v>
      </c>
      <c r="D47" s="81">
        <v>630864</v>
      </c>
      <c r="E47" s="81">
        <v>679915</v>
      </c>
      <c r="F47" s="81">
        <v>687592</v>
      </c>
      <c r="G47" s="81">
        <v>744513</v>
      </c>
      <c r="H47" s="81">
        <v>819768</v>
      </c>
      <c r="I47" s="81">
        <v>823659.73244000005</v>
      </c>
      <c r="J47" s="81">
        <v>848882</v>
      </c>
      <c r="K47" s="81">
        <v>922940.82966000005</v>
      </c>
      <c r="L47" s="81">
        <v>986367.74881999998</v>
      </c>
      <c r="M47" s="81">
        <v>1009202.03927</v>
      </c>
      <c r="N47" s="81">
        <v>1023838.0214</v>
      </c>
      <c r="O47" s="81">
        <v>1063044.6597</v>
      </c>
      <c r="P47" s="81">
        <v>1108849.6644299999</v>
      </c>
      <c r="Q47" s="81">
        <v>1105673.7972200001</v>
      </c>
      <c r="R47" s="81">
        <v>1104717.0684</v>
      </c>
      <c r="S47" s="81">
        <v>1125186.05926</v>
      </c>
      <c r="T47" s="81">
        <v>1194609.6128799999</v>
      </c>
      <c r="U47" s="81">
        <v>1208490.9912099999</v>
      </c>
      <c r="V47" s="81">
        <v>1252435.3717400001</v>
      </c>
      <c r="W47" s="81">
        <v>1266753.7396199999</v>
      </c>
      <c r="X47" s="81">
        <v>1222745.04651</v>
      </c>
      <c r="Y47" s="81">
        <v>1327259.36357</v>
      </c>
      <c r="Z47" s="81">
        <v>1346756.0562</v>
      </c>
      <c r="AA47" s="81">
        <v>1366400.52886</v>
      </c>
      <c r="AB47" s="81">
        <v>1370525.3786734801</v>
      </c>
      <c r="AC47" s="81">
        <v>1430439.1639043957</v>
      </c>
    </row>
    <row r="48" spans="1:32" s="86" customFormat="1" ht="13.35" customHeight="1" x14ac:dyDescent="0.2">
      <c r="A48" s="83" t="s">
        <v>205</v>
      </c>
      <c r="B48" s="83" t="s">
        <v>206</v>
      </c>
      <c r="C48" s="84" t="s">
        <v>207</v>
      </c>
      <c r="D48" s="85">
        <v>425193</v>
      </c>
      <c r="E48" s="85">
        <v>466698</v>
      </c>
      <c r="F48" s="85">
        <v>495570</v>
      </c>
      <c r="G48" s="85">
        <v>495753</v>
      </c>
      <c r="H48" s="85">
        <v>562948</v>
      </c>
      <c r="I48" s="85">
        <v>582386.10551000002</v>
      </c>
      <c r="J48" s="85">
        <v>608173</v>
      </c>
      <c r="K48" s="85">
        <v>646415.53437000001</v>
      </c>
      <c r="L48" s="85">
        <v>691710.67012000002</v>
      </c>
      <c r="M48" s="85">
        <v>723364.44671999989</v>
      </c>
      <c r="N48" s="85">
        <v>727234.45291999995</v>
      </c>
      <c r="O48" s="85">
        <v>767103.81229000003</v>
      </c>
      <c r="P48" s="85">
        <v>807734.17848</v>
      </c>
      <c r="Q48" s="85">
        <v>837565.82170000009</v>
      </c>
      <c r="R48" s="85">
        <v>843436.29129999992</v>
      </c>
      <c r="S48" s="85">
        <v>853215.81417999999</v>
      </c>
      <c r="T48" s="85">
        <v>870943.93893000006</v>
      </c>
      <c r="U48" s="85">
        <v>907049.15721000009</v>
      </c>
      <c r="V48" s="85">
        <v>949524.71962999995</v>
      </c>
      <c r="W48" s="85">
        <v>988310.01961999992</v>
      </c>
      <c r="X48" s="85">
        <v>959897.61650999996</v>
      </c>
      <c r="Y48" s="85">
        <v>1029182.27173</v>
      </c>
      <c r="Z48" s="85">
        <v>1034196.4553499999</v>
      </c>
      <c r="AA48" s="85">
        <v>1116004.4188600001</v>
      </c>
      <c r="AB48" s="85">
        <v>1160185.62181348</v>
      </c>
      <c r="AC48" s="85">
        <v>1200876.4070443956</v>
      </c>
    </row>
    <row r="49" spans="1:32" s="86" customFormat="1" ht="13.35" customHeight="1" x14ac:dyDescent="0.2">
      <c r="A49" s="83" t="s">
        <v>208</v>
      </c>
      <c r="B49" s="83" t="s">
        <v>209</v>
      </c>
      <c r="C49" s="84" t="s">
        <v>210</v>
      </c>
      <c r="D49" s="85">
        <v>29509</v>
      </c>
      <c r="E49" s="85">
        <v>29919</v>
      </c>
      <c r="F49" s="85">
        <v>37574</v>
      </c>
      <c r="G49" s="85">
        <v>43573</v>
      </c>
      <c r="H49" s="85">
        <v>50714</v>
      </c>
      <c r="I49" s="85">
        <v>55058.50621</v>
      </c>
      <c r="J49" s="85">
        <v>47349</v>
      </c>
      <c r="K49" s="85">
        <v>48965</v>
      </c>
      <c r="L49" s="85">
        <v>69812.925619999995</v>
      </c>
      <c r="M49" s="85">
        <v>62399.888039999998</v>
      </c>
      <c r="N49" s="85">
        <v>72261.204249999995</v>
      </c>
      <c r="O49" s="85">
        <v>74950.583289999995</v>
      </c>
      <c r="P49" s="85">
        <v>84178.013739999995</v>
      </c>
      <c r="Q49" s="85">
        <v>83828.910780000006</v>
      </c>
      <c r="R49" s="85">
        <v>83552.545889999994</v>
      </c>
      <c r="S49" s="85">
        <v>84039.245079999993</v>
      </c>
      <c r="T49" s="85">
        <v>86538.673949999997</v>
      </c>
      <c r="U49" s="85">
        <v>89942</v>
      </c>
      <c r="V49" s="85">
        <v>93216.947359999991</v>
      </c>
      <c r="W49" s="85">
        <v>96656</v>
      </c>
      <c r="X49" s="85">
        <v>100140</v>
      </c>
      <c r="Y49" s="85">
        <v>103522</v>
      </c>
      <c r="Z49" s="85">
        <v>103553.47579</v>
      </c>
      <c r="AA49" s="85">
        <v>111035</v>
      </c>
      <c r="AB49" s="85">
        <v>116711</v>
      </c>
      <c r="AC49" s="85">
        <v>120934</v>
      </c>
    </row>
    <row r="50" spans="1:32" s="86" customFormat="1" ht="13.35" customHeight="1" x14ac:dyDescent="0.2">
      <c r="A50" s="83" t="s">
        <v>211</v>
      </c>
      <c r="B50" s="83" t="s">
        <v>212</v>
      </c>
      <c r="C50" s="84" t="s">
        <v>213</v>
      </c>
      <c r="D50" s="85">
        <v>176162</v>
      </c>
      <c r="E50" s="85">
        <v>183298</v>
      </c>
      <c r="F50" s="85">
        <v>154448</v>
      </c>
      <c r="G50" s="85">
        <v>205187</v>
      </c>
      <c r="H50" s="85">
        <v>206106</v>
      </c>
      <c r="I50" s="85">
        <v>186215.12072000001</v>
      </c>
      <c r="J50" s="85">
        <v>193360</v>
      </c>
      <c r="K50" s="85">
        <v>227560.29529000001</v>
      </c>
      <c r="L50" s="85">
        <v>224844.15307999999</v>
      </c>
      <c r="M50" s="85">
        <v>223437.70451000001</v>
      </c>
      <c r="N50" s="85">
        <v>224342.36423000001</v>
      </c>
      <c r="O50" s="85">
        <v>220990.26412000001</v>
      </c>
      <c r="P50" s="85">
        <v>216937.47221000001</v>
      </c>
      <c r="Q50" s="85">
        <v>184279.06474</v>
      </c>
      <c r="R50" s="85">
        <v>177728.23121</v>
      </c>
      <c r="S50" s="85">
        <v>187931</v>
      </c>
      <c r="T50" s="85">
        <v>237127</v>
      </c>
      <c r="U50" s="85">
        <v>211499.834</v>
      </c>
      <c r="V50" s="85">
        <v>209693.70475</v>
      </c>
      <c r="W50" s="85">
        <v>181787.72</v>
      </c>
      <c r="X50" s="85">
        <v>162707.43</v>
      </c>
      <c r="Y50" s="85">
        <v>194555.09184000001</v>
      </c>
      <c r="Z50" s="85">
        <v>209006.12505999999</v>
      </c>
      <c r="AA50" s="85">
        <v>139361.10999999999</v>
      </c>
      <c r="AB50" s="85">
        <v>93628.756859999994</v>
      </c>
      <c r="AC50" s="85">
        <v>108628.75685999999</v>
      </c>
    </row>
    <row r="51" spans="1:32" s="82" customFormat="1" ht="13.35" customHeight="1" x14ac:dyDescent="0.2">
      <c r="A51" s="79" t="s">
        <v>214</v>
      </c>
      <c r="B51" s="79" t="s">
        <v>215</v>
      </c>
      <c r="C51" s="80" t="s">
        <v>216</v>
      </c>
      <c r="D51" s="81" t="s">
        <v>154</v>
      </c>
      <c r="E51" s="81" t="s">
        <v>154</v>
      </c>
      <c r="F51" s="81" t="s">
        <v>154</v>
      </c>
      <c r="G51" s="81" t="s">
        <v>154</v>
      </c>
      <c r="H51" s="81" t="s">
        <v>154</v>
      </c>
      <c r="I51" s="81">
        <v>14500</v>
      </c>
      <c r="J51" s="81" t="s">
        <v>154</v>
      </c>
      <c r="K51" s="81" t="s">
        <v>154</v>
      </c>
      <c r="L51" s="81" t="s">
        <v>154</v>
      </c>
      <c r="M51" s="81">
        <v>14970.72271</v>
      </c>
      <c r="N51" s="81">
        <v>73779.394130000001</v>
      </c>
      <c r="O51" s="81">
        <v>81669.328810000006</v>
      </c>
      <c r="P51" s="81">
        <v>86180.192290000006</v>
      </c>
      <c r="Q51" s="81">
        <v>89901.694279999996</v>
      </c>
      <c r="R51" s="81">
        <v>94633.603899999987</v>
      </c>
      <c r="S51" s="81">
        <v>97573</v>
      </c>
      <c r="T51" s="81">
        <v>99146</v>
      </c>
      <c r="U51" s="81">
        <v>103333.795</v>
      </c>
      <c r="V51" s="81">
        <v>107988.53069</v>
      </c>
      <c r="W51" s="81">
        <v>112311.31</v>
      </c>
      <c r="X51" s="81">
        <v>115243.14</v>
      </c>
      <c r="Y51" s="81">
        <v>121239.98813</v>
      </c>
      <c r="Z51" s="81">
        <v>136145.90830000001</v>
      </c>
      <c r="AA51" s="81">
        <v>154890.79999999999</v>
      </c>
      <c r="AB51" s="81">
        <v>155607.05734</v>
      </c>
      <c r="AC51" s="81">
        <v>162962.973365051</v>
      </c>
    </row>
    <row r="52" spans="1:32" s="82" customFormat="1" ht="13.35" customHeight="1" x14ac:dyDescent="0.2">
      <c r="A52" s="79" t="s">
        <v>174</v>
      </c>
      <c r="B52" s="79" t="s">
        <v>175</v>
      </c>
      <c r="C52" s="109"/>
      <c r="D52" s="81">
        <f>D46-D47</f>
        <v>730339.95299999998</v>
      </c>
      <c r="E52" s="81">
        <f>E46-E47</f>
        <v>729150.27059999993</v>
      </c>
      <c r="F52" s="81">
        <f>F46-F47</f>
        <v>866376.85088000004</v>
      </c>
      <c r="G52" s="81">
        <f>G46-G47</f>
        <v>864773.23897000006</v>
      </c>
      <c r="H52" s="81">
        <f>H46-H47</f>
        <v>1046400.50602</v>
      </c>
      <c r="I52" s="81">
        <f>I46-I47-I51</f>
        <v>1126031.1980099999</v>
      </c>
      <c r="J52" s="81">
        <f>J46-J47</f>
        <v>1188963.8899999999</v>
      </c>
      <c r="K52" s="81">
        <f>K46-K47</f>
        <v>1114895.72</v>
      </c>
      <c r="L52" s="81">
        <f>L46-L47</f>
        <v>201785.72119000007</v>
      </c>
      <c r="M52" s="81">
        <f t="shared" ref="M52:AC52" si="5">M46-M47-M51</f>
        <v>205561.62508000014</v>
      </c>
      <c r="N52" s="81">
        <f t="shared" si="5"/>
        <v>187804.03595000008</v>
      </c>
      <c r="O52" s="81">
        <f t="shared" si="5"/>
        <v>179636.42778000011</v>
      </c>
      <c r="P52" s="81">
        <f t="shared" si="5"/>
        <v>185117.62000000002</v>
      </c>
      <c r="Q52" s="81">
        <f t="shared" si="5"/>
        <v>191153.96999999991</v>
      </c>
      <c r="R52" s="81">
        <f t="shared" si="5"/>
        <v>187372.04000000004</v>
      </c>
      <c r="S52" s="81">
        <f t="shared" si="5"/>
        <v>191339.99</v>
      </c>
      <c r="T52" s="81">
        <f t="shared" si="5"/>
        <v>202401.64000000013</v>
      </c>
      <c r="U52" s="81">
        <f t="shared" si="5"/>
        <v>219451.14000000007</v>
      </c>
      <c r="V52" s="81">
        <f t="shared" si="5"/>
        <v>214457.86999999982</v>
      </c>
      <c r="W52" s="81">
        <f t="shared" si="5"/>
        <v>219056.46000000002</v>
      </c>
      <c r="X52" s="81">
        <f t="shared" si="5"/>
        <v>208393.57999999996</v>
      </c>
      <c r="Y52" s="81">
        <f t="shared" si="5"/>
        <v>195326.99999999994</v>
      </c>
      <c r="Z52" s="81">
        <f t="shared" si="5"/>
        <v>220218.51</v>
      </c>
      <c r="AA52" s="81">
        <f t="shared" si="5"/>
        <v>228385.65999999997</v>
      </c>
      <c r="AB52" s="81">
        <f t="shared" si="5"/>
        <v>255812.06000000011</v>
      </c>
      <c r="AC52" s="81">
        <f t="shared" si="5"/>
        <v>249792.7672412465</v>
      </c>
    </row>
    <row r="53" spans="1:32" s="25" customFormat="1" ht="15.95" customHeight="1" x14ac:dyDescent="0.2">
      <c r="A53" s="30" t="s">
        <v>97</v>
      </c>
      <c r="B53" s="30" t="s">
        <v>98</v>
      </c>
      <c r="C53" s="31" t="s">
        <v>17</v>
      </c>
      <c r="D53" s="32">
        <v>400905.57900000003</v>
      </c>
      <c r="E53" s="32">
        <v>391526</v>
      </c>
      <c r="F53" s="32">
        <v>432228.67314999999</v>
      </c>
      <c r="G53" s="32">
        <v>467346.68199999997</v>
      </c>
      <c r="H53" s="32">
        <v>457651.22681000002</v>
      </c>
      <c r="I53" s="32">
        <v>481216.49274999998</v>
      </c>
      <c r="J53" s="32">
        <v>483133.11843999999</v>
      </c>
      <c r="K53" s="32">
        <v>754436.28081999999</v>
      </c>
      <c r="L53" s="32">
        <v>956340.29646999994</v>
      </c>
      <c r="M53" s="32">
        <v>898071.55765000009</v>
      </c>
      <c r="N53" s="32">
        <v>1142945.7087600001</v>
      </c>
      <c r="O53" s="32">
        <v>1573230.5178100001</v>
      </c>
      <c r="P53" s="32">
        <v>568572.63354199985</v>
      </c>
      <c r="Q53" s="32">
        <v>578621.75576212583</v>
      </c>
      <c r="R53" s="32">
        <v>812632.32221999997</v>
      </c>
      <c r="S53" s="32">
        <v>487942.63837</v>
      </c>
      <c r="T53" s="32">
        <v>498970.27081000002</v>
      </c>
      <c r="U53" s="32">
        <v>424709.58533999999</v>
      </c>
      <c r="V53" s="32">
        <v>422501.80462000001</v>
      </c>
      <c r="W53" s="32">
        <v>429853.80945000012</v>
      </c>
      <c r="X53" s="32">
        <v>371736.69900000002</v>
      </c>
      <c r="Y53" s="32">
        <v>377791.08925000002</v>
      </c>
      <c r="Z53" s="32">
        <v>445856.05164999998</v>
      </c>
      <c r="AA53" s="32">
        <v>534954.78469999996</v>
      </c>
      <c r="AB53" s="32">
        <v>622382.56953999994</v>
      </c>
      <c r="AC53" s="32">
        <v>579370.00517679995</v>
      </c>
      <c r="AD53" s="24"/>
      <c r="AE53" s="24"/>
      <c r="AF53" s="24"/>
    </row>
    <row r="54" spans="1:32" s="25" customFormat="1" ht="15.95" customHeight="1" x14ac:dyDescent="0.2">
      <c r="A54" s="30" t="s">
        <v>99</v>
      </c>
      <c r="B54" s="30" t="s">
        <v>100</v>
      </c>
      <c r="C54" s="31" t="s">
        <v>18</v>
      </c>
      <c r="D54" s="32">
        <v>177400.228</v>
      </c>
      <c r="E54" s="32">
        <v>210294.22743999999</v>
      </c>
      <c r="F54" s="32">
        <v>316713.50270000001</v>
      </c>
      <c r="G54" s="32">
        <v>148492.94555</v>
      </c>
      <c r="H54" s="32">
        <v>235944.99731000001</v>
      </c>
      <c r="I54" s="32">
        <v>173342.70817</v>
      </c>
      <c r="J54" s="32">
        <v>6805.0929999999998</v>
      </c>
      <c r="K54" s="32">
        <v>73483.87</v>
      </c>
      <c r="L54" s="32">
        <v>195382.74278500001</v>
      </c>
      <c r="M54" s="32">
        <v>268198.249671</v>
      </c>
      <c r="N54" s="32">
        <v>258533.83956260001</v>
      </c>
      <c r="O54" s="32">
        <v>151118.21355740001</v>
      </c>
      <c r="P54" s="32">
        <v>350384.09179630002</v>
      </c>
      <c r="Q54" s="32">
        <v>253253.42548100001</v>
      </c>
      <c r="R54" s="32">
        <v>338580.38104900002</v>
      </c>
      <c r="S54" s="32">
        <v>281385.84201000002</v>
      </c>
      <c r="T54" s="32">
        <v>241303.87917399991</v>
      </c>
      <c r="U54" s="32">
        <v>208699.323615</v>
      </c>
      <c r="V54" s="32">
        <v>180528.27146836981</v>
      </c>
      <c r="W54" s="32">
        <v>243242.81625199999</v>
      </c>
      <c r="X54" s="32">
        <v>205107.20000000001</v>
      </c>
      <c r="Y54" s="32">
        <v>138564.87772300001</v>
      </c>
      <c r="Z54" s="32">
        <v>-76463</v>
      </c>
      <c r="AA54" s="32">
        <v>-129987.38889</v>
      </c>
      <c r="AB54" s="32">
        <v>132204.86869</v>
      </c>
      <c r="AC54" s="32">
        <v>132250.06</v>
      </c>
      <c r="AD54" s="24"/>
      <c r="AE54" s="24"/>
      <c r="AF54" s="24"/>
    </row>
    <row r="55" spans="1:32" s="39" customFormat="1" ht="20.100000000000001" customHeight="1" x14ac:dyDescent="0.2">
      <c r="A55" s="35" t="s">
        <v>101</v>
      </c>
      <c r="B55" s="35" t="s">
        <v>102</v>
      </c>
      <c r="C55" s="36" t="s">
        <v>19</v>
      </c>
      <c r="D55" s="37">
        <v>803327.85</v>
      </c>
      <c r="E55" s="37">
        <v>554607.60259000002</v>
      </c>
      <c r="F55" s="37">
        <v>557765.66486000002</v>
      </c>
      <c r="G55" s="37">
        <v>577269.75352999987</v>
      </c>
      <c r="H55" s="37">
        <v>595864.60736000002</v>
      </c>
      <c r="I55" s="37">
        <v>613308.54928000004</v>
      </c>
      <c r="J55" s="37">
        <v>648051.27308000007</v>
      </c>
      <c r="K55" s="37">
        <v>687756.31401999993</v>
      </c>
      <c r="L55" s="37">
        <v>479404.43599000003</v>
      </c>
      <c r="M55" s="37">
        <v>508462.41158999997</v>
      </c>
      <c r="N55" s="37">
        <v>554010.89015469002</v>
      </c>
      <c r="O55" s="37">
        <v>547749.50734000001</v>
      </c>
      <c r="P55" s="37">
        <v>583829.6823300001</v>
      </c>
      <c r="Q55" s="37">
        <v>599273.29606712598</v>
      </c>
      <c r="R55" s="37">
        <v>711666.66778092203</v>
      </c>
      <c r="S55" s="37">
        <v>203560.91601370799</v>
      </c>
      <c r="T55" s="37">
        <v>173862.73583854901</v>
      </c>
      <c r="U55" s="37">
        <v>205726.90358909091</v>
      </c>
      <c r="V55" s="37">
        <v>205590.75873340911</v>
      </c>
      <c r="W55" s="37">
        <v>194537.3642602273</v>
      </c>
      <c r="X55" s="37">
        <v>194181.43299999999</v>
      </c>
      <c r="Y55" s="37">
        <v>262911.96481400001</v>
      </c>
      <c r="Z55" s="37">
        <v>237101.27593</v>
      </c>
      <c r="AA55" s="37">
        <v>224689.69198</v>
      </c>
      <c r="AB55" s="37">
        <v>231768.62086559998</v>
      </c>
      <c r="AC55" s="37">
        <v>193503.92307999998</v>
      </c>
      <c r="AD55" s="38"/>
      <c r="AE55" s="38"/>
      <c r="AF55" s="38"/>
    </row>
    <row r="56" spans="1:32" s="25" customFormat="1" ht="15.95" hidden="1" customHeight="1" x14ac:dyDescent="0.2">
      <c r="A56" s="30" t="s">
        <v>103</v>
      </c>
      <c r="B56" s="30" t="s">
        <v>104</v>
      </c>
      <c r="C56" s="31" t="s">
        <v>105</v>
      </c>
      <c r="D56" s="32" t="s">
        <v>154</v>
      </c>
      <c r="E56" s="32" t="s">
        <v>154</v>
      </c>
      <c r="F56" s="32" t="s">
        <v>154</v>
      </c>
      <c r="G56" s="32" t="s">
        <v>154</v>
      </c>
      <c r="H56" s="32" t="s">
        <v>154</v>
      </c>
      <c r="I56" s="32" t="s">
        <v>154</v>
      </c>
      <c r="J56" s="32" t="s">
        <v>154</v>
      </c>
      <c r="K56" s="32" t="s">
        <v>154</v>
      </c>
      <c r="L56" s="32" t="s">
        <v>154</v>
      </c>
      <c r="M56" s="32" t="s">
        <v>154</v>
      </c>
      <c r="N56" s="32" t="s">
        <v>154</v>
      </c>
      <c r="O56" s="32" t="s">
        <v>154</v>
      </c>
      <c r="P56" s="32" t="s">
        <v>154</v>
      </c>
      <c r="Q56" s="32" t="s">
        <v>154</v>
      </c>
      <c r="R56" s="32" t="s">
        <v>154</v>
      </c>
      <c r="S56" s="32" t="s">
        <v>154</v>
      </c>
      <c r="T56" s="32" t="s">
        <v>154</v>
      </c>
      <c r="U56" s="32" t="s">
        <v>154</v>
      </c>
      <c r="V56" s="32" t="s">
        <v>154</v>
      </c>
      <c r="W56" s="32" t="s">
        <v>154</v>
      </c>
      <c r="X56" s="32" t="s">
        <v>154</v>
      </c>
      <c r="Y56" s="32" t="s">
        <v>154</v>
      </c>
      <c r="Z56" s="32" t="s">
        <v>154</v>
      </c>
      <c r="AA56" s="32" t="s">
        <v>154</v>
      </c>
      <c r="AB56" s="32" t="s">
        <v>154</v>
      </c>
      <c r="AC56" s="32" t="s">
        <v>154</v>
      </c>
      <c r="AD56" s="24"/>
      <c r="AE56" s="24"/>
      <c r="AF56" s="24"/>
    </row>
    <row r="57" spans="1:32" s="39" customFormat="1" ht="20.100000000000001" hidden="1" customHeight="1" x14ac:dyDescent="0.2">
      <c r="A57" s="35" t="s">
        <v>156</v>
      </c>
      <c r="B57" s="35" t="s">
        <v>157</v>
      </c>
      <c r="C57" s="36" t="s">
        <v>158</v>
      </c>
      <c r="D57" s="37" t="s">
        <v>154</v>
      </c>
      <c r="E57" s="37" t="s">
        <v>154</v>
      </c>
      <c r="F57" s="37" t="s">
        <v>154</v>
      </c>
      <c r="G57" s="37" t="s">
        <v>154</v>
      </c>
      <c r="H57" s="37" t="s">
        <v>154</v>
      </c>
      <c r="I57" s="37" t="s">
        <v>154</v>
      </c>
      <c r="J57" s="37" t="s">
        <v>154</v>
      </c>
      <c r="K57" s="37" t="s">
        <v>154</v>
      </c>
      <c r="L57" s="37" t="s">
        <v>154</v>
      </c>
      <c r="M57" s="37" t="s">
        <v>154</v>
      </c>
      <c r="N57" s="37" t="s">
        <v>154</v>
      </c>
      <c r="O57" s="37" t="s">
        <v>154</v>
      </c>
      <c r="P57" s="37" t="s">
        <v>154</v>
      </c>
      <c r="Q57" s="37" t="s">
        <v>154</v>
      </c>
      <c r="R57" s="37" t="s">
        <v>154</v>
      </c>
      <c r="S57" s="37" t="s">
        <v>154</v>
      </c>
      <c r="T57" s="37" t="s">
        <v>154</v>
      </c>
      <c r="U57" s="37" t="s">
        <v>154</v>
      </c>
      <c r="V57" s="37" t="s">
        <v>154</v>
      </c>
      <c r="W57" s="37" t="s">
        <v>154</v>
      </c>
      <c r="X57" s="37" t="s">
        <v>154</v>
      </c>
      <c r="Y57" s="37" t="s">
        <v>154</v>
      </c>
      <c r="Z57" s="37" t="s">
        <v>154</v>
      </c>
      <c r="AA57" s="37" t="s">
        <v>154</v>
      </c>
      <c r="AB57" s="37" t="s">
        <v>154</v>
      </c>
      <c r="AC57" s="37" t="s">
        <v>154</v>
      </c>
      <c r="AD57" s="38"/>
      <c r="AE57" s="38"/>
      <c r="AF57" s="38"/>
    </row>
    <row r="58" spans="1:32" s="39" customFormat="1" ht="24.95" customHeight="1" thickBot="1" x14ac:dyDescent="0.25">
      <c r="A58" s="40" t="s">
        <v>106</v>
      </c>
      <c r="B58" s="40" t="s">
        <v>107</v>
      </c>
      <c r="C58" s="41" t="s">
        <v>20</v>
      </c>
      <c r="D58" s="42">
        <v>40703122.326000012</v>
      </c>
      <c r="E58" s="42">
        <v>41642047.557439998</v>
      </c>
      <c r="F58" s="42">
        <v>44694428.237809993</v>
      </c>
      <c r="G58" s="42">
        <v>44909591.064700007</v>
      </c>
      <c r="H58" s="42">
        <v>49085189.813680001</v>
      </c>
      <c r="I58" s="42">
        <v>51681504.451190017</v>
      </c>
      <c r="J58" s="42">
        <v>53345011.685520001</v>
      </c>
      <c r="K58" s="42">
        <v>56653936.102829993</v>
      </c>
      <c r="L58" s="42">
        <v>56349668.279375009</v>
      </c>
      <c r="M58" s="42">
        <v>57262066.284440987</v>
      </c>
      <c r="N58" s="42">
        <v>61451560.005977288</v>
      </c>
      <c r="O58" s="42">
        <v>64842387.56793835</v>
      </c>
      <c r="P58" s="42">
        <v>67365349.256475404</v>
      </c>
      <c r="Q58" s="42">
        <v>69732199.788030252</v>
      </c>
      <c r="R58" s="42">
        <v>72956950.428894907</v>
      </c>
      <c r="S58" s="42">
        <v>63557026.805607282</v>
      </c>
      <c r="T58" s="42">
        <v>64421867.03891255</v>
      </c>
      <c r="U58" s="42">
        <v>69512322.5461739</v>
      </c>
      <c r="V58" s="42">
        <v>70409188.513609365</v>
      </c>
      <c r="W58" s="42">
        <v>74298134.557397068</v>
      </c>
      <c r="X58" s="42">
        <v>81733668.458994329</v>
      </c>
      <c r="Y58" s="42">
        <v>82257963.50842686</v>
      </c>
      <c r="Z58" s="42">
        <v>85542560.408852294</v>
      </c>
      <c r="AA58" s="42">
        <v>93595239.54083021</v>
      </c>
      <c r="AB58" s="42">
        <v>99393155.59812516</v>
      </c>
      <c r="AC58" s="42">
        <v>102400686.06673945</v>
      </c>
      <c r="AD58" s="43"/>
    </row>
    <row r="59" spans="1:32" s="45" customFormat="1" ht="20.100000000000001" customHeight="1" x14ac:dyDescent="0.2">
      <c r="A59" s="44" t="s">
        <v>228</v>
      </c>
      <c r="B59" s="45" t="s">
        <v>227</v>
      </c>
      <c r="C59" s="46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5"/>
      <c r="AE59" s="43" t="s">
        <v>239</v>
      </c>
      <c r="AF59" s="43" t="s">
        <v>239</v>
      </c>
    </row>
    <row r="60" spans="1:32" s="45" customFormat="1" ht="20.100000000000001" customHeight="1" x14ac:dyDescent="0.2">
      <c r="A60" s="21" t="s">
        <v>88</v>
      </c>
      <c r="C60" s="46"/>
      <c r="D60" s="123">
        <f>D17/D58</f>
        <v>0.72313124794847927</v>
      </c>
      <c r="E60" s="123">
        <f t="shared" ref="E60:AC60" si="6">E17/E58</f>
        <v>0.73589715715924076</v>
      </c>
      <c r="F60" s="123">
        <f t="shared" si="6"/>
        <v>0.72424717050762533</v>
      </c>
      <c r="G60" s="125">
        <f t="shared" si="6"/>
        <v>0.72299185155955725</v>
      </c>
      <c r="H60" s="125">
        <f t="shared" si="6"/>
        <v>0.67482368371240187</v>
      </c>
      <c r="I60" s="125">
        <f t="shared" si="6"/>
        <v>0.66178948914987445</v>
      </c>
      <c r="J60" s="125">
        <f t="shared" si="6"/>
        <v>0.65898686931100869</v>
      </c>
      <c r="K60" s="125">
        <f t="shared" si="6"/>
        <v>0.65491146377235732</v>
      </c>
      <c r="L60" s="125">
        <f t="shared" si="6"/>
        <v>0.68282476143099591</v>
      </c>
      <c r="M60" s="125">
        <f t="shared" si="6"/>
        <v>0.68564003683827734</v>
      </c>
      <c r="N60" s="125">
        <f t="shared" si="6"/>
        <v>0.64409502044521039</v>
      </c>
      <c r="O60" s="125">
        <f t="shared" si="6"/>
        <v>0.63943923162233274</v>
      </c>
      <c r="P60" s="125">
        <f t="shared" si="6"/>
        <v>0.64341414944707087</v>
      </c>
      <c r="Q60" s="125">
        <f t="shared" si="6"/>
        <v>0.63493053401163391</v>
      </c>
      <c r="R60" s="125">
        <f t="shared" si="6"/>
        <v>0.62834991218141556</v>
      </c>
      <c r="S60" s="125">
        <f t="shared" si="6"/>
        <v>0.7495738107383737</v>
      </c>
      <c r="T60" s="125">
        <f t="shared" si="6"/>
        <v>0.73951011561639135</v>
      </c>
      <c r="U60" s="125">
        <f t="shared" si="6"/>
        <v>0.70484981559628301</v>
      </c>
      <c r="V60" s="125">
        <f t="shared" si="6"/>
        <v>0.7095903542740436</v>
      </c>
      <c r="W60" s="125">
        <f t="shared" si="6"/>
        <v>0.69651686994189566</v>
      </c>
      <c r="X60" s="125">
        <f t="shared" si="6"/>
        <v>0.62120133397992261</v>
      </c>
      <c r="Y60" s="125">
        <f t="shared" si="6"/>
        <v>0.65310123276655485</v>
      </c>
      <c r="Z60" s="125">
        <f t="shared" si="6"/>
        <v>0.68425385082689139</v>
      </c>
      <c r="AA60" s="125">
        <f t="shared" si="6"/>
        <v>0.67169946091536603</v>
      </c>
      <c r="AB60" s="123">
        <f t="shared" si="6"/>
        <v>0.66170132809651006</v>
      </c>
      <c r="AC60" s="123">
        <f t="shared" si="6"/>
        <v>0.66602020360931857</v>
      </c>
      <c r="AD60" s="5"/>
      <c r="AE60" s="43"/>
      <c r="AF60" s="43"/>
    </row>
    <row r="61" spans="1:32" s="45" customFormat="1" ht="20.100000000000001" customHeight="1" x14ac:dyDescent="0.2">
      <c r="A61" s="30" t="s">
        <v>91</v>
      </c>
      <c r="C61" s="46"/>
      <c r="D61" s="123">
        <f t="shared" ref="D61:AC61" si="7">D23/D58</f>
        <v>0.12191492419809306</v>
      </c>
      <c r="E61" s="123">
        <f t="shared" si="7"/>
        <v>0.12224094009734945</v>
      </c>
      <c r="F61" s="123">
        <f t="shared" si="7"/>
        <v>0.11463293210216591</v>
      </c>
      <c r="G61" s="125">
        <f t="shared" si="7"/>
        <v>0.11601084945293974</v>
      </c>
      <c r="H61" s="125">
        <f t="shared" si="7"/>
        <v>0.10772122956171952</v>
      </c>
      <c r="I61" s="125">
        <f t="shared" si="7"/>
        <v>0.10362699139414626</v>
      </c>
      <c r="J61" s="125">
        <f t="shared" si="7"/>
        <v>0.1018041405448623</v>
      </c>
      <c r="K61" s="125">
        <f t="shared" si="7"/>
        <v>9.7470330335691524E-2</v>
      </c>
      <c r="L61" s="125">
        <f t="shared" si="7"/>
        <v>0.10196256850198666</v>
      </c>
      <c r="M61" s="125">
        <f t="shared" si="7"/>
        <v>0.10216195888602678</v>
      </c>
      <c r="N61" s="125">
        <f t="shared" si="7"/>
        <v>0.13196109962483019</v>
      </c>
      <c r="O61" s="125">
        <f t="shared" si="7"/>
        <v>0.10899037905838019</v>
      </c>
      <c r="P61" s="125">
        <f t="shared" si="7"/>
        <v>0.14634941427461429</v>
      </c>
      <c r="Q61" s="125">
        <f t="shared" si="7"/>
        <v>0.15900648529236944</v>
      </c>
      <c r="R61" s="125">
        <f t="shared" si="7"/>
        <v>0.16302006772598804</v>
      </c>
      <c r="S61" s="125">
        <f t="shared" si="7"/>
        <v>0.12472339938533186</v>
      </c>
      <c r="T61" s="125">
        <f t="shared" si="7"/>
        <v>0.12528906610490945</v>
      </c>
      <c r="U61" s="125">
        <f t="shared" si="7"/>
        <v>9.5272285559886274E-2</v>
      </c>
      <c r="V61" s="125">
        <f t="shared" si="7"/>
        <v>7.9611633944290355E-2</v>
      </c>
      <c r="W61" s="125">
        <f t="shared" si="7"/>
        <v>9.1605623420492555E-2</v>
      </c>
      <c r="X61" s="125">
        <f t="shared" si="7"/>
        <v>0.17402758108215977</v>
      </c>
      <c r="Y61" s="125">
        <f t="shared" si="7"/>
        <v>0.11220024735689578</v>
      </c>
      <c r="Z61" s="125">
        <f t="shared" si="7"/>
        <v>8.6908273517772652E-2</v>
      </c>
      <c r="AA61" s="125">
        <f t="shared" si="7"/>
        <v>9.6014749942914548E-2</v>
      </c>
      <c r="AB61" s="123">
        <f t="shared" si="7"/>
        <v>9.5468585212345233E-2</v>
      </c>
      <c r="AC61" s="123">
        <f t="shared" si="7"/>
        <v>9.3573577263098076E-2</v>
      </c>
      <c r="AD61" s="5"/>
      <c r="AE61" s="5"/>
      <c r="AF61" s="5"/>
    </row>
    <row r="62" spans="1:32" s="45" customFormat="1" ht="20.100000000000001" customHeight="1" x14ac:dyDescent="0.2">
      <c r="A62" s="30" t="s">
        <v>93</v>
      </c>
      <c r="C62" s="46"/>
      <c r="D62" s="123">
        <f t="shared" ref="D62:AC62" si="8">D31/D58</f>
        <v>8.7567409975407379E-2</v>
      </c>
      <c r="E62" s="123">
        <f t="shared" si="8"/>
        <v>8.0253666570795523E-2</v>
      </c>
      <c r="F62" s="123">
        <f t="shared" si="8"/>
        <v>9.7114677849891251E-2</v>
      </c>
      <c r="G62" s="125">
        <f t="shared" si="8"/>
        <v>9.8596472045822184E-2</v>
      </c>
      <c r="H62" s="125">
        <f t="shared" si="8"/>
        <v>0.15316625847690388</v>
      </c>
      <c r="I62" s="125">
        <f t="shared" si="8"/>
        <v>0.17204550484182474</v>
      </c>
      <c r="J62" s="125">
        <f t="shared" si="8"/>
        <v>0.17967511295159572</v>
      </c>
      <c r="K62" s="125">
        <f t="shared" si="8"/>
        <v>0.18489506150088569</v>
      </c>
      <c r="L62" s="125">
        <f t="shared" si="8"/>
        <v>0.16518077047752297</v>
      </c>
      <c r="M62" s="125">
        <f t="shared" si="8"/>
        <v>0.16147565360913985</v>
      </c>
      <c r="N62" s="125">
        <f t="shared" si="8"/>
        <v>0.17120458592925325</v>
      </c>
      <c r="O62" s="125">
        <f t="shared" si="8"/>
        <v>0.19610591939628744</v>
      </c>
      <c r="P62" s="125">
        <f t="shared" si="8"/>
        <v>0.16744093508656252</v>
      </c>
      <c r="Q62" s="125">
        <f t="shared" si="8"/>
        <v>0.1656529843474524</v>
      </c>
      <c r="R62" s="125">
        <f t="shared" si="8"/>
        <v>0.16408865612046813</v>
      </c>
      <c r="S62" s="125">
        <f t="shared" si="8"/>
        <v>8.8146148767917404E-2</v>
      </c>
      <c r="T62" s="125">
        <f t="shared" si="8"/>
        <v>9.7786594669708571E-2</v>
      </c>
      <c r="U62" s="125">
        <f t="shared" si="8"/>
        <v>0.16577730125295723</v>
      </c>
      <c r="V62" s="125">
        <f t="shared" si="8"/>
        <v>0.17694585899352441</v>
      </c>
      <c r="W62" s="125">
        <f t="shared" si="8"/>
        <v>0.17869019292817581</v>
      </c>
      <c r="X62" s="125">
        <f t="shared" si="8"/>
        <v>0.17641793326612346</v>
      </c>
      <c r="Y62" s="125">
        <f t="shared" si="8"/>
        <v>0.20524125908211258</v>
      </c>
      <c r="Z62" s="125">
        <f t="shared" si="8"/>
        <v>0.20183827696386403</v>
      </c>
      <c r="AA62" s="125">
        <f t="shared" si="8"/>
        <v>0.20686426035112276</v>
      </c>
      <c r="AB62" s="123">
        <f t="shared" si="8"/>
        <v>0.2149780626916041</v>
      </c>
      <c r="AC62" s="123">
        <f t="shared" si="8"/>
        <v>0.21356734725736684</v>
      </c>
      <c r="AD62" s="5"/>
      <c r="AE62" s="5"/>
      <c r="AF62" s="5"/>
    </row>
    <row r="63" spans="1:32" s="45" customFormat="1" ht="20.100000000000001" customHeight="1" x14ac:dyDescent="0.2">
      <c r="A63" s="124" t="s">
        <v>159</v>
      </c>
      <c r="C63" s="46"/>
      <c r="D63" s="123">
        <f>D32/D31</f>
        <v>1</v>
      </c>
      <c r="E63" s="123">
        <f t="shared" ref="E63:AC63" si="9">E32/E31</f>
        <v>0.99741406679439737</v>
      </c>
      <c r="F63" s="123">
        <f t="shared" si="9"/>
        <v>0.9793087638823772</v>
      </c>
      <c r="G63" s="125">
        <f t="shared" si="9"/>
        <v>0.97415856363529585</v>
      </c>
      <c r="H63" s="125">
        <f t="shared" si="9"/>
        <v>0.96689075254083068</v>
      </c>
      <c r="I63" s="125">
        <f t="shared" si="9"/>
        <v>0.94353623773005069</v>
      </c>
      <c r="J63" s="125">
        <f t="shared" si="9"/>
        <v>0.88673271380192598</v>
      </c>
      <c r="K63" s="125">
        <f t="shared" si="9"/>
        <v>0.86526324069814387</v>
      </c>
      <c r="L63" s="125">
        <f t="shared" si="9"/>
        <v>0.92614245178244947</v>
      </c>
      <c r="M63" s="125">
        <f t="shared" si="9"/>
        <v>0.92196329134781896</v>
      </c>
      <c r="N63" s="125">
        <f t="shared" si="9"/>
        <v>0.93087750874744746</v>
      </c>
      <c r="O63" s="125">
        <f t="shared" si="9"/>
        <v>0.94133789024465819</v>
      </c>
      <c r="P63" s="125">
        <f t="shared" si="9"/>
        <v>0.9261789658106504</v>
      </c>
      <c r="Q63" s="125">
        <f t="shared" si="9"/>
        <v>0.92163840286331977</v>
      </c>
      <c r="R63" s="125">
        <f t="shared" si="9"/>
        <v>0.90460487148047442</v>
      </c>
      <c r="S63" s="125">
        <f t="shared" si="9"/>
        <v>0.82866540944579115</v>
      </c>
      <c r="T63" s="125">
        <f t="shared" si="9"/>
        <v>0.64467493545219967</v>
      </c>
      <c r="U63" s="125">
        <f t="shared" si="9"/>
        <v>0.77172733036738328</v>
      </c>
      <c r="V63" s="125">
        <f t="shared" si="9"/>
        <v>0.77340075887476889</v>
      </c>
      <c r="W63" s="125">
        <f t="shared" si="9"/>
        <v>0.77709976113516954</v>
      </c>
      <c r="X63" s="125">
        <f t="shared" si="9"/>
        <v>0.78218677416843929</v>
      </c>
      <c r="Y63" s="125">
        <f t="shared" si="9"/>
        <v>0.80507865790410171</v>
      </c>
      <c r="Z63" s="125">
        <f t="shared" si="9"/>
        <v>0.80336290264148769</v>
      </c>
      <c r="AA63" s="125">
        <f t="shared" si="9"/>
        <v>0.81163865834844495</v>
      </c>
      <c r="AB63" s="123">
        <f t="shared" si="9"/>
        <v>0.72161074806916969</v>
      </c>
      <c r="AC63" s="123">
        <f t="shared" si="9"/>
        <v>0.73932140553689896</v>
      </c>
      <c r="AD63" s="5"/>
      <c r="AE63" s="126">
        <f>MIN(D63:AB63)</f>
        <v>0.64467493545219967</v>
      </c>
      <c r="AF63" s="126">
        <f>MAX(D63:AB63)</f>
        <v>1</v>
      </c>
    </row>
    <row r="64" spans="1:32" s="45" customFormat="1" ht="20.100000000000001" customHeight="1" x14ac:dyDescent="0.2">
      <c r="A64" s="124" t="s">
        <v>164</v>
      </c>
      <c r="C64" s="46"/>
      <c r="D64" s="123">
        <f>SUM(D39)/D31</f>
        <v>0</v>
      </c>
      <c r="E64" s="123">
        <f t="shared" ref="E64:AC64" si="10">SUM(E39)/E31</f>
        <v>0</v>
      </c>
      <c r="F64" s="123">
        <f t="shared" si="10"/>
        <v>0</v>
      </c>
      <c r="G64" s="125">
        <f t="shared" si="10"/>
        <v>0</v>
      </c>
      <c r="H64" s="125">
        <f t="shared" si="10"/>
        <v>0</v>
      </c>
      <c r="I64" s="125">
        <f t="shared" si="10"/>
        <v>0</v>
      </c>
      <c r="J64" s="125">
        <f t="shared" si="10"/>
        <v>3.6370822005032777E-2</v>
      </c>
      <c r="K64" s="125">
        <f t="shared" si="10"/>
        <v>4.213657369862224E-2</v>
      </c>
      <c r="L64" s="125">
        <f t="shared" si="10"/>
        <v>4.778661586680364E-2</v>
      </c>
      <c r="M64" s="125">
        <f t="shared" si="10"/>
        <v>4.4547600841305629E-2</v>
      </c>
      <c r="N64" s="125">
        <f t="shared" si="10"/>
        <v>3.9738925712597677E-2</v>
      </c>
      <c r="O64" s="125">
        <f t="shared" si="10"/>
        <v>3.4153396848196876E-2</v>
      </c>
      <c r="P64" s="125">
        <f t="shared" si="10"/>
        <v>4.2461132397689484E-2</v>
      </c>
      <c r="Q64" s="125">
        <f t="shared" si="10"/>
        <v>4.8563600418202311E-2</v>
      </c>
      <c r="R64" s="125">
        <f t="shared" si="10"/>
        <v>5.9462847055411175E-2</v>
      </c>
      <c r="S64" s="125">
        <f t="shared" si="10"/>
        <v>0.10115011295053362</v>
      </c>
      <c r="T64" s="125">
        <f t="shared" si="10"/>
        <v>0.28901350007421112</v>
      </c>
      <c r="U64" s="125">
        <f t="shared" si="10"/>
        <v>0.22827266963261661</v>
      </c>
      <c r="V64" s="125">
        <f t="shared" si="10"/>
        <v>0.22659924112523075</v>
      </c>
      <c r="W64" s="125">
        <f t="shared" si="10"/>
        <v>0.22290023886483057</v>
      </c>
      <c r="X64" s="125">
        <f t="shared" si="10"/>
        <v>0.21781322583156104</v>
      </c>
      <c r="Y64" s="125">
        <f t="shared" si="10"/>
        <v>0.19492134209589826</v>
      </c>
      <c r="Z64" s="125">
        <f t="shared" si="10"/>
        <v>0.19663709735851234</v>
      </c>
      <c r="AA64" s="125">
        <f t="shared" si="10"/>
        <v>0.18836134165155508</v>
      </c>
      <c r="AB64" s="123">
        <f t="shared" si="10"/>
        <v>0.27838925193083025</v>
      </c>
      <c r="AC64" s="123">
        <f t="shared" si="10"/>
        <v>0.26067859446310093</v>
      </c>
      <c r="AD64" s="5"/>
      <c r="AE64" s="126">
        <f t="shared" ref="AE64:AE65" si="11">MIN(D64:AB64)</f>
        <v>0</v>
      </c>
      <c r="AF64" s="126">
        <f t="shared" ref="AF64:AF65" si="12">MAX(D64:AB64)</f>
        <v>0.28901350007421112</v>
      </c>
    </row>
    <row r="65" spans="1:32" s="45" customFormat="1" ht="20.100000000000001" customHeight="1" x14ac:dyDescent="0.2">
      <c r="A65" s="124" t="s">
        <v>238</v>
      </c>
      <c r="C65" s="46"/>
      <c r="D65" s="123">
        <f>SUM(D42:D45)/D31</f>
        <v>0</v>
      </c>
      <c r="E65" s="123">
        <f t="shared" ref="E65:AC65" si="13">SUM(E42:E45)/E31</f>
        <v>2.5859332056026359E-3</v>
      </c>
      <c r="F65" s="123">
        <f t="shared" si="13"/>
        <v>2.0691236117622799E-2</v>
      </c>
      <c r="G65" s="125">
        <f t="shared" si="13"/>
        <v>2.584143636470413E-2</v>
      </c>
      <c r="H65" s="125">
        <f t="shared" si="13"/>
        <v>3.3109247459169336E-2</v>
      </c>
      <c r="I65" s="125">
        <f t="shared" si="13"/>
        <v>5.6463762269949418E-2</v>
      </c>
      <c r="J65" s="125">
        <f t="shared" si="13"/>
        <v>7.6896464193041233E-2</v>
      </c>
      <c r="K65" s="125">
        <f t="shared" si="13"/>
        <v>9.2600185603233895E-2</v>
      </c>
      <c r="L65" s="125">
        <f t="shared" si="13"/>
        <v>2.6070932350746832E-2</v>
      </c>
      <c r="M65" s="125">
        <f t="shared" si="13"/>
        <v>3.3489107810875489E-2</v>
      </c>
      <c r="N65" s="125">
        <f t="shared" si="13"/>
        <v>2.9383565539954914E-2</v>
      </c>
      <c r="O65" s="125">
        <f t="shared" si="13"/>
        <v>2.4508712907145042E-2</v>
      </c>
      <c r="P65" s="125">
        <f t="shared" si="13"/>
        <v>3.135990179166024E-2</v>
      </c>
      <c r="Q65" s="125">
        <f t="shared" si="13"/>
        <v>2.9797996718477941E-2</v>
      </c>
      <c r="R65" s="125">
        <f t="shared" si="13"/>
        <v>3.5932281464114368E-2</v>
      </c>
      <c r="S65" s="125">
        <f t="shared" si="13"/>
        <v>7.0184477603675244E-2</v>
      </c>
      <c r="T65" s="125">
        <f t="shared" si="13"/>
        <v>6.6311564473589171E-2</v>
      </c>
      <c r="U65" s="125">
        <f t="shared" si="13"/>
        <v>0</v>
      </c>
      <c r="V65" s="125">
        <f t="shared" si="13"/>
        <v>0</v>
      </c>
      <c r="W65" s="125">
        <f t="shared" si="13"/>
        <v>0</v>
      </c>
      <c r="X65" s="125">
        <f t="shared" si="13"/>
        <v>0</v>
      </c>
      <c r="Y65" s="125">
        <f t="shared" si="13"/>
        <v>0</v>
      </c>
      <c r="Z65" s="125">
        <f t="shared" si="13"/>
        <v>0</v>
      </c>
      <c r="AA65" s="125">
        <f t="shared" si="13"/>
        <v>0</v>
      </c>
      <c r="AB65" s="123">
        <f t="shared" si="13"/>
        <v>0</v>
      </c>
      <c r="AC65" s="123">
        <f t="shared" si="13"/>
        <v>0</v>
      </c>
      <c r="AD65" s="5"/>
      <c r="AE65" s="126">
        <f t="shared" si="11"/>
        <v>0</v>
      </c>
      <c r="AF65" s="126">
        <f t="shared" si="12"/>
        <v>9.2600185603233895E-2</v>
      </c>
    </row>
    <row r="66" spans="1:32" s="45" customFormat="1" ht="20.100000000000001" customHeight="1" x14ac:dyDescent="0.2">
      <c r="A66" s="30" t="s">
        <v>237</v>
      </c>
      <c r="C66" s="46"/>
      <c r="D66" s="123">
        <f>(D46+D53+D54+D55)/D58</f>
        <v>6.7386417878019952E-2</v>
      </c>
      <c r="E66" s="123">
        <f t="shared" ref="E66:AC66" si="14">(E46+E53+E54+E55)/E58</f>
        <v>6.1608236172614309E-2</v>
      </c>
      <c r="F66" s="123">
        <f t="shared" si="14"/>
        <v>6.4005219540317626E-2</v>
      </c>
      <c r="G66" s="125">
        <f t="shared" si="14"/>
        <v>6.2400826941680809E-2</v>
      </c>
      <c r="H66" s="125">
        <f t="shared" si="14"/>
        <v>6.4288828248974791E-2</v>
      </c>
      <c r="I66" s="125">
        <f t="shared" si="14"/>
        <v>6.2538014614154272E-2</v>
      </c>
      <c r="J66" s="125">
        <f t="shared" si="14"/>
        <v>5.9533877192533273E-2</v>
      </c>
      <c r="K66" s="125">
        <f t="shared" si="14"/>
        <v>6.2723144391065425E-2</v>
      </c>
      <c r="L66" s="125">
        <f t="shared" si="14"/>
        <v>5.0031899589494257E-2</v>
      </c>
      <c r="M66" s="125">
        <f t="shared" si="14"/>
        <v>5.0722350666556199E-2</v>
      </c>
      <c r="N66" s="125">
        <f t="shared" si="14"/>
        <v>5.2739294000706448E-2</v>
      </c>
      <c r="O66" s="125">
        <f t="shared" si="14"/>
        <v>5.5464469922999603E-2</v>
      </c>
      <c r="P66" s="125">
        <f t="shared" si="14"/>
        <v>4.279550119175226E-2</v>
      </c>
      <c r="Q66" s="125">
        <f t="shared" si="14"/>
        <v>4.0409996348544128E-2</v>
      </c>
      <c r="R66" s="125">
        <f t="shared" si="14"/>
        <v>4.4541363972128198E-2</v>
      </c>
      <c r="S66" s="125">
        <f t="shared" si="14"/>
        <v>3.7556641108377295E-2</v>
      </c>
      <c r="T66" s="125">
        <f t="shared" si="14"/>
        <v>3.741422360899082E-2</v>
      </c>
      <c r="U66" s="125">
        <f t="shared" si="14"/>
        <v>3.4100597590873666E-2</v>
      </c>
      <c r="V66" s="125">
        <f t="shared" si="14"/>
        <v>3.3852152788141743E-2</v>
      </c>
      <c r="W66" s="125">
        <f t="shared" si="14"/>
        <v>3.3187313709436041E-2</v>
      </c>
      <c r="X66" s="125">
        <f t="shared" si="14"/>
        <v>2.8353151671794107E-2</v>
      </c>
      <c r="Y66" s="125">
        <f t="shared" si="14"/>
        <v>2.9457260794436849E-2</v>
      </c>
      <c r="Z66" s="125">
        <f t="shared" si="14"/>
        <v>2.6999598691471848E-2</v>
      </c>
      <c r="AA66" s="125">
        <f t="shared" si="14"/>
        <v>2.542152879059659E-2</v>
      </c>
      <c r="AB66" s="123">
        <f t="shared" si="14"/>
        <v>2.7852023999540853E-2</v>
      </c>
      <c r="AC66" s="123">
        <f t="shared" si="14"/>
        <v>2.6838871870216587E-2</v>
      </c>
      <c r="AD66" s="5"/>
      <c r="AE66" s="5"/>
      <c r="AF66" s="5"/>
    </row>
    <row r="67" spans="1:32" s="6" customFormat="1" ht="30" customHeight="1" x14ac:dyDescent="0.25">
      <c r="A67" s="1" t="s">
        <v>230</v>
      </c>
      <c r="B67" s="1" t="s">
        <v>232</v>
      </c>
      <c r="C67" s="48"/>
      <c r="D67" s="3"/>
      <c r="E67" s="3"/>
      <c r="F67" s="3"/>
      <c r="G67" s="3"/>
      <c r="H67" s="4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49"/>
      <c r="AE67" s="49"/>
      <c r="AF67" s="49"/>
    </row>
    <row r="68" spans="1:32" s="6" customFormat="1" ht="24.95" customHeight="1" thickBot="1" x14ac:dyDescent="0.25">
      <c r="A68" s="50" t="s">
        <v>236</v>
      </c>
      <c r="B68" s="51"/>
      <c r="C68" s="52"/>
      <c r="D68" s="108">
        <f t="shared" ref="D68:Q68" si="15">D90-D74</f>
        <v>35868182.972000003</v>
      </c>
      <c r="E68" s="108">
        <f t="shared" si="15"/>
        <v>38076647.285340004</v>
      </c>
      <c r="F68" s="108">
        <f t="shared" si="15"/>
        <v>39999863.179760002</v>
      </c>
      <c r="G68" s="108">
        <f t="shared" si="15"/>
        <v>42389511.895230003</v>
      </c>
      <c r="H68" s="108">
        <f t="shared" si="15"/>
        <v>46052814.458180003</v>
      </c>
      <c r="I68" s="108">
        <f t="shared" si="15"/>
        <v>47979522.262560003</v>
      </c>
      <c r="J68" s="108">
        <f t="shared" si="15"/>
        <v>49491760.574450001</v>
      </c>
      <c r="K68" s="108">
        <f t="shared" si="15"/>
        <v>51815991.960129999</v>
      </c>
      <c r="L68" s="108">
        <f t="shared" si="15"/>
        <v>51675236.64350085</v>
      </c>
      <c r="M68" s="108">
        <f t="shared" si="15"/>
        <v>55900650.79828617</v>
      </c>
      <c r="N68" s="108">
        <f t="shared" si="15"/>
        <v>58299161.437202722</v>
      </c>
      <c r="O68" s="108">
        <f t="shared" si="15"/>
        <v>61384923.160070524</v>
      </c>
      <c r="P68" s="108">
        <f t="shared" si="15"/>
        <v>62550453.179913342</v>
      </c>
      <c r="Q68" s="108">
        <f t="shared" si="15"/>
        <v>65082963.864972085</v>
      </c>
      <c r="R68" s="108">
        <f>R90-R74</f>
        <v>67943589.039343894</v>
      </c>
      <c r="S68" s="108"/>
      <c r="T68" s="108"/>
      <c r="U68" s="108"/>
      <c r="V68" s="108"/>
      <c r="W68" s="108"/>
      <c r="X68" s="108"/>
      <c r="Y68" s="108"/>
      <c r="Z68" s="108"/>
      <c r="AA68" s="108"/>
      <c r="AB68" s="108"/>
      <c r="AC68" s="108"/>
      <c r="AD68" s="5"/>
      <c r="AE68" s="5"/>
      <c r="AF68" s="5"/>
    </row>
    <row r="69" spans="1:32" s="20" customFormat="1" ht="30" customHeight="1" x14ac:dyDescent="0.2">
      <c r="A69" s="17" t="s">
        <v>3</v>
      </c>
      <c r="B69" s="17" t="s">
        <v>29</v>
      </c>
      <c r="C69" s="53"/>
      <c r="D69" s="19" t="str">
        <f t="shared" ref="D69:AC69" si="16">D16</f>
        <v xml:space="preserve"> 2000 </v>
      </c>
      <c r="E69" s="19" t="str">
        <f t="shared" si="16"/>
        <v xml:space="preserve"> 2001 </v>
      </c>
      <c r="F69" s="19" t="str">
        <f t="shared" si="16"/>
        <v xml:space="preserve"> 2002 </v>
      </c>
      <c r="G69" s="19" t="str">
        <f t="shared" si="16"/>
        <v xml:space="preserve"> 2003 </v>
      </c>
      <c r="H69" s="19" t="str">
        <f t="shared" si="16"/>
        <v xml:space="preserve"> 2004 </v>
      </c>
      <c r="I69" s="19" t="str">
        <f t="shared" si="16"/>
        <v xml:space="preserve"> 2005 </v>
      </c>
      <c r="J69" s="19" t="str">
        <f t="shared" si="16"/>
        <v xml:space="preserve"> 2006 </v>
      </c>
      <c r="K69" s="19" t="str">
        <f t="shared" si="16"/>
        <v xml:space="preserve"> 2007 </v>
      </c>
      <c r="L69" s="19" t="str">
        <f t="shared" si="16"/>
        <v xml:space="preserve"> 2008 </v>
      </c>
      <c r="M69" s="19" t="str">
        <f t="shared" si="16"/>
        <v xml:space="preserve"> 2009 </v>
      </c>
      <c r="N69" s="19" t="str">
        <f t="shared" si="16"/>
        <v xml:space="preserve"> 2010 </v>
      </c>
      <c r="O69" s="19" t="str">
        <f t="shared" si="16"/>
        <v xml:space="preserve"> 2011 </v>
      </c>
      <c r="P69" s="19" t="str">
        <f t="shared" si="16"/>
        <v xml:space="preserve"> 2012 </v>
      </c>
      <c r="Q69" s="19" t="str">
        <f t="shared" si="16"/>
        <v xml:space="preserve"> 2013 </v>
      </c>
      <c r="R69" s="19" t="str">
        <f t="shared" si="16"/>
        <v xml:space="preserve"> 2014 </v>
      </c>
      <c r="S69" s="19" t="str">
        <f t="shared" si="16"/>
        <v xml:space="preserve"> 2015 </v>
      </c>
      <c r="T69" s="19" t="str">
        <f t="shared" si="16"/>
        <v xml:space="preserve"> 2016 </v>
      </c>
      <c r="U69" s="19" t="str">
        <f t="shared" si="16"/>
        <v xml:space="preserve"> 2017 </v>
      </c>
      <c r="V69" s="19" t="str">
        <f t="shared" si="16"/>
        <v xml:space="preserve"> 2018 </v>
      </c>
      <c r="W69" s="19" t="str">
        <f t="shared" si="16"/>
        <v xml:space="preserve"> 2019 </v>
      </c>
      <c r="X69" s="19" t="str">
        <f t="shared" si="16"/>
        <v xml:space="preserve"> 2020 </v>
      </c>
      <c r="Y69" s="19" t="str">
        <f t="shared" si="16"/>
        <v xml:space="preserve"> 2021 </v>
      </c>
      <c r="Z69" s="19" t="str">
        <f t="shared" si="16"/>
        <v xml:space="preserve"> 2022 </v>
      </c>
      <c r="AA69" s="19" t="str">
        <f t="shared" si="16"/>
        <v xml:space="preserve"> 2023 </v>
      </c>
      <c r="AB69" s="19" t="str">
        <f t="shared" si="16"/>
        <v xml:space="preserve"> 2024 </v>
      </c>
      <c r="AC69" s="19" t="str">
        <f t="shared" si="16"/>
        <v xml:space="preserve"> 2025 </v>
      </c>
      <c r="AD69" s="5"/>
      <c r="AE69" s="5"/>
      <c r="AF69" s="5"/>
    </row>
    <row r="70" spans="1:32" s="25" customFormat="1" ht="20.100000000000001" customHeight="1" x14ac:dyDescent="0.2">
      <c r="A70" s="30" t="s">
        <v>108</v>
      </c>
      <c r="B70" s="30" t="s">
        <v>109</v>
      </c>
      <c r="C70" s="31" t="s">
        <v>110</v>
      </c>
      <c r="D70" s="32">
        <v>36546269.614</v>
      </c>
      <c r="E70" s="32">
        <v>38444338.813690007</v>
      </c>
      <c r="F70" s="32">
        <v>40452093.273869991</v>
      </c>
      <c r="G70" s="32">
        <v>42838228.268449999</v>
      </c>
      <c r="H70" s="32">
        <v>45084938.754869998</v>
      </c>
      <c r="I70" s="32">
        <v>46434839.923210002</v>
      </c>
      <c r="J70" s="32">
        <v>47838055.7667</v>
      </c>
      <c r="K70" s="32">
        <v>49585326.264749996</v>
      </c>
      <c r="L70" s="32">
        <v>33852781.972208522</v>
      </c>
      <c r="M70" s="32">
        <v>36555682.27630458</v>
      </c>
      <c r="N70" s="32">
        <v>37763682.459590003</v>
      </c>
      <c r="O70" s="32">
        <v>39516912.206120007</v>
      </c>
      <c r="P70" s="32">
        <v>41333959.411930002</v>
      </c>
      <c r="Q70" s="32">
        <v>42972023.193960004</v>
      </c>
      <c r="R70" s="32">
        <v>44239375.195270002</v>
      </c>
      <c r="S70" s="32">
        <v>39175592.616710931</v>
      </c>
      <c r="T70" s="32">
        <v>40090796.617749996</v>
      </c>
      <c r="U70" s="32">
        <v>40778193.154189996</v>
      </c>
      <c r="V70" s="32">
        <v>42039583.927770004</v>
      </c>
      <c r="W70" s="32">
        <v>43376325.714542203</v>
      </c>
      <c r="X70" s="32">
        <v>49836966.706139997</v>
      </c>
      <c r="Y70" s="32">
        <v>49347049.767632648</v>
      </c>
      <c r="Z70" s="32">
        <v>52241349.316775888</v>
      </c>
      <c r="AA70" s="32">
        <v>56417708.983644038</v>
      </c>
      <c r="AB70" s="32">
        <v>60514735.922656044</v>
      </c>
      <c r="AC70" s="32">
        <v>64088319.342</v>
      </c>
      <c r="AD70" s="24"/>
      <c r="AE70" s="24"/>
      <c r="AF70" s="24"/>
    </row>
    <row r="71" spans="1:32" s="29" customFormat="1" ht="15.95" customHeight="1" x14ac:dyDescent="0.2">
      <c r="A71" s="26" t="s">
        <v>39</v>
      </c>
      <c r="B71" s="26" t="s">
        <v>30</v>
      </c>
      <c r="C71" s="27" t="s">
        <v>111</v>
      </c>
      <c r="D71" s="28">
        <v>12012518</v>
      </c>
      <c r="E71" s="28">
        <v>12900647.690749999</v>
      </c>
      <c r="F71" s="28">
        <v>13283194.13236</v>
      </c>
      <c r="G71" s="28">
        <v>14417655.0152</v>
      </c>
      <c r="H71" s="28">
        <v>15718335.709869999</v>
      </c>
      <c r="I71" s="28">
        <v>16173191.97665</v>
      </c>
      <c r="J71" s="28">
        <v>16634392.391860001</v>
      </c>
      <c r="K71" s="28">
        <v>17677091.525729999</v>
      </c>
      <c r="L71" s="28" t="s">
        <v>154</v>
      </c>
      <c r="M71" s="28" t="s">
        <v>154</v>
      </c>
      <c r="N71" s="28" t="s">
        <v>154</v>
      </c>
      <c r="O71" s="28" t="s">
        <v>154</v>
      </c>
      <c r="P71" s="28" t="s">
        <v>154</v>
      </c>
      <c r="Q71" s="28" t="s">
        <v>154</v>
      </c>
      <c r="R71" s="28" t="s">
        <v>154</v>
      </c>
      <c r="S71" s="28" t="s">
        <v>154</v>
      </c>
      <c r="T71" s="28" t="s">
        <v>154</v>
      </c>
      <c r="U71" s="28" t="s">
        <v>154</v>
      </c>
      <c r="V71" s="28" t="s">
        <v>154</v>
      </c>
      <c r="W71" s="28" t="s">
        <v>154</v>
      </c>
      <c r="X71" s="28" t="s">
        <v>154</v>
      </c>
      <c r="Y71" s="28" t="s">
        <v>154</v>
      </c>
      <c r="Z71" s="28" t="s">
        <v>154</v>
      </c>
      <c r="AA71" s="28" t="s">
        <v>154</v>
      </c>
      <c r="AB71" s="28" t="s">
        <v>154</v>
      </c>
      <c r="AC71" s="28" t="s">
        <v>154</v>
      </c>
      <c r="AD71" s="5"/>
      <c r="AE71" s="5"/>
      <c r="AF71" s="5"/>
    </row>
    <row r="72" spans="1:32" s="29" customFormat="1" ht="15.95" customHeight="1" x14ac:dyDescent="0.2">
      <c r="A72" s="26" t="s">
        <v>40</v>
      </c>
      <c r="B72" s="26" t="s">
        <v>31</v>
      </c>
      <c r="C72" s="27" t="s">
        <v>112</v>
      </c>
      <c r="D72" s="28">
        <v>2671327.8840000001</v>
      </c>
      <c r="E72" s="28">
        <v>2850116.14</v>
      </c>
      <c r="F72" s="28">
        <v>3024296</v>
      </c>
      <c r="G72" s="28">
        <v>3162792</v>
      </c>
      <c r="H72" s="28">
        <v>3277030</v>
      </c>
      <c r="I72" s="28">
        <v>3424768.0066900002</v>
      </c>
      <c r="J72" s="28">
        <v>3610561</v>
      </c>
      <c r="K72" s="28">
        <v>3886674</v>
      </c>
      <c r="L72" s="28">
        <v>4270712.3976100003</v>
      </c>
      <c r="M72" s="28">
        <v>4616702.01853</v>
      </c>
      <c r="N72" s="28">
        <v>5008964.3677399997</v>
      </c>
      <c r="O72" s="28">
        <v>5454782.1308000004</v>
      </c>
      <c r="P72" s="28">
        <v>5809198</v>
      </c>
      <c r="Q72" s="28">
        <v>6237176</v>
      </c>
      <c r="R72" s="28">
        <v>6643522</v>
      </c>
      <c r="S72" s="28">
        <v>7033399</v>
      </c>
      <c r="T72" s="28">
        <v>7406558</v>
      </c>
      <c r="U72" s="28">
        <v>7751190</v>
      </c>
      <c r="V72" s="28">
        <v>8289136</v>
      </c>
      <c r="W72" s="28">
        <v>8799601</v>
      </c>
      <c r="X72" s="28">
        <v>9465206</v>
      </c>
      <c r="Y72" s="28">
        <v>10110005.984280201</v>
      </c>
      <c r="Z72" s="28">
        <v>11229125</v>
      </c>
      <c r="AA72" s="28">
        <v>12213646</v>
      </c>
      <c r="AB72" s="28">
        <v>13449037</v>
      </c>
      <c r="AC72" s="28">
        <v>14553703</v>
      </c>
      <c r="AD72" s="5"/>
      <c r="AE72" s="5"/>
      <c r="AF72" s="5"/>
    </row>
    <row r="73" spans="1:32" s="29" customFormat="1" ht="15.95" customHeight="1" x14ac:dyDescent="0.2">
      <c r="A73" s="26" t="s">
        <v>113</v>
      </c>
      <c r="B73" s="26" t="s">
        <v>114</v>
      </c>
      <c r="C73" s="27" t="s">
        <v>115</v>
      </c>
      <c r="D73" s="28">
        <v>12349411.16</v>
      </c>
      <c r="E73" s="28">
        <v>12817119</v>
      </c>
      <c r="F73" s="28">
        <v>13384905</v>
      </c>
      <c r="G73" s="28">
        <v>13860486</v>
      </c>
      <c r="H73" s="28">
        <v>14215285</v>
      </c>
      <c r="I73" s="28">
        <v>14635609</v>
      </c>
      <c r="J73" s="28">
        <v>15175410</v>
      </c>
      <c r="K73" s="28">
        <v>15671486</v>
      </c>
      <c r="L73" s="28">
        <v>16865215</v>
      </c>
      <c r="M73" s="28">
        <v>17787182</v>
      </c>
      <c r="N73" s="28">
        <v>18328663</v>
      </c>
      <c r="O73" s="28">
        <v>19374971</v>
      </c>
      <c r="P73" s="28">
        <v>20693135</v>
      </c>
      <c r="Q73" s="28">
        <v>21689303</v>
      </c>
      <c r="R73" s="28">
        <v>22337205</v>
      </c>
      <c r="S73" s="28">
        <v>23075930</v>
      </c>
      <c r="T73" s="28">
        <v>24064942</v>
      </c>
      <c r="U73" s="28">
        <v>25233176</v>
      </c>
      <c r="V73" s="28">
        <v>26466999</v>
      </c>
      <c r="W73" s="28">
        <v>27791557</v>
      </c>
      <c r="X73" s="28">
        <v>29228409</v>
      </c>
      <c r="Y73" s="28">
        <v>30553868</v>
      </c>
      <c r="Z73" s="28">
        <v>34047294</v>
      </c>
      <c r="AA73" s="28">
        <v>37486962</v>
      </c>
      <c r="AB73" s="28">
        <v>40125157</v>
      </c>
      <c r="AC73" s="28">
        <v>42195314</v>
      </c>
      <c r="AD73" s="5"/>
      <c r="AE73" s="5"/>
      <c r="AF73" s="5"/>
    </row>
    <row r="74" spans="1:32" s="29" customFormat="1" ht="15.95" customHeight="1" x14ac:dyDescent="0.2">
      <c r="A74" s="26" t="s">
        <v>116</v>
      </c>
      <c r="B74" s="26" t="s">
        <v>117</v>
      </c>
      <c r="C74" s="27" t="s">
        <v>118</v>
      </c>
      <c r="D74" s="28">
        <v>3112060</v>
      </c>
      <c r="E74" s="28">
        <v>3184620</v>
      </c>
      <c r="F74" s="28">
        <v>3281531</v>
      </c>
      <c r="G74" s="28">
        <v>3350560</v>
      </c>
      <c r="H74" s="28">
        <v>3418380</v>
      </c>
      <c r="I74" s="28">
        <v>3510253</v>
      </c>
      <c r="J74" s="28">
        <v>3645934</v>
      </c>
      <c r="K74" s="28">
        <v>3735752</v>
      </c>
      <c r="L74" s="28">
        <v>3922728</v>
      </c>
      <c r="M74" s="28">
        <v>4104666</v>
      </c>
      <c r="N74" s="28">
        <v>4199638</v>
      </c>
      <c r="O74" s="28">
        <v>4368511</v>
      </c>
      <c r="P74" s="28">
        <v>4538851</v>
      </c>
      <c r="Q74" s="28">
        <v>4660831</v>
      </c>
      <c r="R74" s="28">
        <v>5275945</v>
      </c>
      <c r="S74" s="28" t="s">
        <v>154</v>
      </c>
      <c r="T74" s="28" t="s">
        <v>154</v>
      </c>
      <c r="U74" s="28" t="s">
        <v>154</v>
      </c>
      <c r="V74" s="28" t="s">
        <v>154</v>
      </c>
      <c r="W74" s="28" t="s">
        <v>154</v>
      </c>
      <c r="X74" s="28" t="s">
        <v>154</v>
      </c>
      <c r="Y74" s="28" t="s">
        <v>154</v>
      </c>
      <c r="Z74" s="28" t="s">
        <v>154</v>
      </c>
      <c r="AA74" s="28" t="s">
        <v>154</v>
      </c>
      <c r="AB74" s="28" t="s">
        <v>154</v>
      </c>
      <c r="AC74" s="28" t="s">
        <v>154</v>
      </c>
      <c r="AD74" s="5"/>
      <c r="AE74" s="5"/>
      <c r="AF74" s="5"/>
    </row>
    <row r="75" spans="1:32" s="29" customFormat="1" ht="15.95" customHeight="1" x14ac:dyDescent="0.2">
      <c r="A75" s="26" t="s">
        <v>119</v>
      </c>
      <c r="B75" s="26" t="s">
        <v>120</v>
      </c>
      <c r="C75" s="27" t="s">
        <v>121</v>
      </c>
      <c r="D75" s="28">
        <v>136654</v>
      </c>
      <c r="E75" s="28">
        <v>140837</v>
      </c>
      <c r="F75" s="28">
        <v>145831.43502999999</v>
      </c>
      <c r="G75" s="28">
        <v>146355.932</v>
      </c>
      <c r="H75" s="28">
        <v>148076.25</v>
      </c>
      <c r="I75" s="28">
        <v>155332.69529</v>
      </c>
      <c r="J75" s="28">
        <v>177202.62700000001</v>
      </c>
      <c r="K75" s="28">
        <v>184744.77100000001</v>
      </c>
      <c r="L75" s="28">
        <v>193940.92356851429</v>
      </c>
      <c r="M75" s="28">
        <v>205535.5148345787</v>
      </c>
      <c r="N75" s="28">
        <v>211654.58499999999</v>
      </c>
      <c r="O75" s="28">
        <v>219027.56588000001</v>
      </c>
      <c r="P75" s="28">
        <v>226495.83491999999</v>
      </c>
      <c r="Q75" s="28">
        <v>239610.16657000009</v>
      </c>
      <c r="R75" s="28">
        <v>243242.90106</v>
      </c>
      <c r="S75" s="28">
        <v>249345.04972092749</v>
      </c>
      <c r="T75" s="28">
        <v>259122.32912000001</v>
      </c>
      <c r="U75" s="28">
        <v>260228.35883000001</v>
      </c>
      <c r="V75" s="28">
        <v>263624.04736999999</v>
      </c>
      <c r="W75" s="28">
        <v>268804.21876000002</v>
      </c>
      <c r="X75" s="28">
        <v>274962.85700000002</v>
      </c>
      <c r="Y75" s="28">
        <v>279304.85645000002</v>
      </c>
      <c r="Z75" s="28">
        <v>296173.72421000001</v>
      </c>
      <c r="AA75" s="28">
        <v>312838.86324999988</v>
      </c>
      <c r="AB75" s="28">
        <v>327127.45788</v>
      </c>
      <c r="AC75" s="28">
        <v>335061</v>
      </c>
      <c r="AD75" s="5"/>
      <c r="AE75" s="5"/>
      <c r="AF75" s="5"/>
    </row>
    <row r="76" spans="1:32" s="29" customFormat="1" ht="15.95" customHeight="1" x14ac:dyDescent="0.2">
      <c r="A76" s="26" t="s">
        <v>122</v>
      </c>
      <c r="B76" s="26" t="s">
        <v>123</v>
      </c>
      <c r="C76" s="27" t="s">
        <v>124</v>
      </c>
      <c r="D76" s="28">
        <v>321080.46000000002</v>
      </c>
      <c r="E76" s="28">
        <v>318971</v>
      </c>
      <c r="F76" s="28">
        <v>318876</v>
      </c>
      <c r="G76" s="28">
        <v>320095</v>
      </c>
      <c r="H76" s="28">
        <v>315842</v>
      </c>
      <c r="I76" s="28">
        <v>315054</v>
      </c>
      <c r="J76" s="28">
        <v>309199</v>
      </c>
      <c r="K76" s="28">
        <v>306360</v>
      </c>
      <c r="L76" s="28">
        <v>311384.45481000002</v>
      </c>
      <c r="M76" s="28">
        <v>304776.61290000001</v>
      </c>
      <c r="N76" s="28">
        <v>303845.39971000003</v>
      </c>
      <c r="O76" s="28">
        <v>268172.00829000003</v>
      </c>
      <c r="P76" s="28">
        <v>271159.60931999999</v>
      </c>
      <c r="Q76" s="28">
        <v>269416.07522</v>
      </c>
      <c r="R76" s="28">
        <v>260879.46421000001</v>
      </c>
      <c r="S76" s="28">
        <v>252751.61992999999</v>
      </c>
      <c r="T76" s="28">
        <v>241325.6629899999</v>
      </c>
      <c r="U76" s="28">
        <v>236517.79928000009</v>
      </c>
      <c r="V76" s="28">
        <v>230299.33480000001</v>
      </c>
      <c r="W76" s="28">
        <v>221848.27022999999</v>
      </c>
      <c r="X76" s="28">
        <v>218700.48379999999</v>
      </c>
      <c r="Y76" s="28">
        <v>213316.69222999999</v>
      </c>
      <c r="Z76" s="28">
        <v>219037.31599</v>
      </c>
      <c r="AA76" s="28">
        <v>217341.09516</v>
      </c>
      <c r="AB76" s="28">
        <v>214753.49262999999</v>
      </c>
      <c r="AC76" s="28">
        <v>205478.5</v>
      </c>
      <c r="AD76" s="5"/>
      <c r="AE76" s="5"/>
      <c r="AF76" s="5"/>
    </row>
    <row r="77" spans="1:32" s="29" customFormat="1" ht="15.95" customHeight="1" x14ac:dyDescent="0.2">
      <c r="A77" s="26" t="s">
        <v>0</v>
      </c>
      <c r="B77" s="26" t="s">
        <v>125</v>
      </c>
      <c r="C77" s="27" t="s">
        <v>126</v>
      </c>
      <c r="D77" s="28">
        <v>5903465.818</v>
      </c>
      <c r="E77" s="28">
        <v>6199775</v>
      </c>
      <c r="F77" s="28">
        <v>6985164</v>
      </c>
      <c r="G77" s="28">
        <v>7555666</v>
      </c>
      <c r="H77" s="28">
        <v>7970891</v>
      </c>
      <c r="I77" s="28">
        <v>8203087</v>
      </c>
      <c r="J77" s="28">
        <v>8269287</v>
      </c>
      <c r="K77" s="28">
        <v>8108705</v>
      </c>
      <c r="L77" s="28">
        <v>8275035.0860000011</v>
      </c>
      <c r="M77" s="28">
        <v>9524316.0943999998</v>
      </c>
      <c r="N77" s="28">
        <v>9700132</v>
      </c>
      <c r="O77" s="28">
        <v>9818064</v>
      </c>
      <c r="P77" s="28">
        <v>9783967.0333400015</v>
      </c>
      <c r="Q77" s="28">
        <v>9864692.92117</v>
      </c>
      <c r="R77" s="28">
        <v>9468867</v>
      </c>
      <c r="S77" s="28">
        <v>8554540.4570600018</v>
      </c>
      <c r="T77" s="28">
        <v>8109439.124640001</v>
      </c>
      <c r="U77" s="28">
        <v>7288970.7550799986</v>
      </c>
      <c r="V77" s="28">
        <v>6782506.551599999</v>
      </c>
      <c r="W77" s="28">
        <v>6287003.3912000004</v>
      </c>
      <c r="X77" s="28">
        <v>10641701.734340001</v>
      </c>
      <c r="Y77" s="28">
        <v>8182791.930729988</v>
      </c>
      <c r="Z77" s="28">
        <v>6442485.0103300009</v>
      </c>
      <c r="AA77" s="28">
        <v>6179473.50562</v>
      </c>
      <c r="AB77" s="28">
        <v>6391001</v>
      </c>
      <c r="AC77" s="28">
        <v>6790834</v>
      </c>
      <c r="AD77" s="5"/>
      <c r="AE77" s="5"/>
      <c r="AF77" s="5"/>
    </row>
    <row r="78" spans="1:32" s="29" customFormat="1" ht="15.95" customHeight="1" x14ac:dyDescent="0.2">
      <c r="A78" s="26" t="s">
        <v>78</v>
      </c>
      <c r="B78" s="26" t="s">
        <v>79</v>
      </c>
      <c r="C78" s="27" t="s">
        <v>127</v>
      </c>
      <c r="D78" s="28">
        <v>26833</v>
      </c>
      <c r="E78" s="28">
        <v>20422.597559999998</v>
      </c>
      <c r="F78" s="28">
        <v>16271</v>
      </c>
      <c r="G78" s="28">
        <v>12696.893959999999</v>
      </c>
      <c r="H78" s="28">
        <v>9403.6999999999989</v>
      </c>
      <c r="I78" s="28">
        <v>6237.4000000000005</v>
      </c>
      <c r="J78" s="28">
        <v>5094.4999999999991</v>
      </c>
      <c r="K78" s="28">
        <v>4054</v>
      </c>
      <c r="L78" s="28">
        <v>3469.9742000000001</v>
      </c>
      <c r="M78" s="28">
        <v>2953.7242900000001</v>
      </c>
      <c r="N78" s="28">
        <v>2465.0040800000002</v>
      </c>
      <c r="O78" s="28">
        <v>2222.3702400000002</v>
      </c>
      <c r="P78" s="28">
        <v>2019</v>
      </c>
      <c r="Q78" s="28">
        <v>1857</v>
      </c>
      <c r="R78" s="28">
        <v>1783</v>
      </c>
      <c r="S78" s="28">
        <v>1559</v>
      </c>
      <c r="T78" s="28">
        <v>1301</v>
      </c>
      <c r="U78" s="28">
        <v>953</v>
      </c>
      <c r="V78" s="28">
        <v>865</v>
      </c>
      <c r="W78" s="28">
        <v>801.60735219625155</v>
      </c>
      <c r="X78" s="28">
        <v>734</v>
      </c>
      <c r="Y78" s="28">
        <v>589.26494247051164</v>
      </c>
      <c r="Z78" s="28">
        <v>479.56581720819162</v>
      </c>
      <c r="AA78" s="28">
        <v>333</v>
      </c>
      <c r="AB78" s="28">
        <v>378</v>
      </c>
      <c r="AC78" s="28">
        <v>371</v>
      </c>
      <c r="AD78" s="5"/>
      <c r="AE78" s="5"/>
      <c r="AF78" s="5"/>
    </row>
    <row r="79" spans="1:32" s="29" customFormat="1" ht="15.95" customHeight="1" x14ac:dyDescent="0.2">
      <c r="A79" s="26" t="s">
        <v>128</v>
      </c>
      <c r="B79" s="26" t="s">
        <v>129</v>
      </c>
      <c r="C79" s="27" t="s">
        <v>130</v>
      </c>
      <c r="D79" s="28">
        <v>7704.95</v>
      </c>
      <c r="E79" s="28">
        <v>7645.4750000000004</v>
      </c>
      <c r="F79" s="28">
        <v>7747.0529999999999</v>
      </c>
      <c r="G79" s="28">
        <v>8147.1440000000002</v>
      </c>
      <c r="H79" s="28">
        <v>7885.9699999999993</v>
      </c>
      <c r="I79" s="28">
        <v>7791.57</v>
      </c>
      <c r="J79" s="28">
        <v>7795.18</v>
      </c>
      <c r="K79" s="28">
        <v>7670.99</v>
      </c>
      <c r="L79" s="28">
        <v>7786.7380000000003</v>
      </c>
      <c r="M79" s="28">
        <v>7302.4140000000007</v>
      </c>
      <c r="N79" s="28">
        <v>6516.68</v>
      </c>
      <c r="O79" s="28">
        <v>9567.33</v>
      </c>
      <c r="P79" s="28">
        <v>7765.8019999999997</v>
      </c>
      <c r="Q79" s="28">
        <v>7957.1900000000014</v>
      </c>
      <c r="R79" s="28">
        <v>6907.4400000000014</v>
      </c>
      <c r="S79" s="28">
        <v>7167.43</v>
      </c>
      <c r="T79" s="28">
        <v>7309.4</v>
      </c>
      <c r="U79" s="28">
        <v>6408.29</v>
      </c>
      <c r="V79" s="28">
        <v>5513.54</v>
      </c>
      <c r="W79" s="28">
        <v>6218.88</v>
      </c>
      <c r="X79" s="28">
        <v>5316.1900000000014</v>
      </c>
      <c r="Y79" s="28">
        <v>6186.25</v>
      </c>
      <c r="Z79" s="28">
        <v>6230.4500000000007</v>
      </c>
      <c r="AA79" s="28">
        <v>6807.63</v>
      </c>
      <c r="AB79" s="28">
        <v>6959.9</v>
      </c>
      <c r="AC79" s="28">
        <v>7188.01</v>
      </c>
      <c r="AD79" s="5"/>
      <c r="AE79" s="5"/>
      <c r="AF79" s="5"/>
    </row>
    <row r="80" spans="1:32" s="29" customFormat="1" ht="15.95" customHeight="1" x14ac:dyDescent="0.2">
      <c r="A80" s="26" t="s">
        <v>131</v>
      </c>
      <c r="B80" s="26" t="s">
        <v>132</v>
      </c>
      <c r="C80" s="27" t="s">
        <v>133</v>
      </c>
      <c r="D80" s="28">
        <v>5214.3420000000006</v>
      </c>
      <c r="E80" s="28">
        <v>4184.9103800000003</v>
      </c>
      <c r="F80" s="28">
        <v>4277.6534799999999</v>
      </c>
      <c r="G80" s="28">
        <v>3774.2832899999989</v>
      </c>
      <c r="H80" s="28">
        <v>3809.1250000000009</v>
      </c>
      <c r="I80" s="28">
        <v>3515.2745799999998</v>
      </c>
      <c r="J80" s="28">
        <v>3180.0678400000002</v>
      </c>
      <c r="K80" s="28">
        <v>2787.97802</v>
      </c>
      <c r="L80" s="28">
        <v>2509.3980200000001</v>
      </c>
      <c r="M80" s="28">
        <v>2247.8973500000002</v>
      </c>
      <c r="N80" s="28">
        <v>1803.4230600000001</v>
      </c>
      <c r="O80" s="28">
        <v>1594.8009099999999</v>
      </c>
      <c r="P80" s="28">
        <v>1368.1323500000001</v>
      </c>
      <c r="Q80" s="28">
        <v>1179.8409999999999</v>
      </c>
      <c r="R80" s="28">
        <v>1023.39</v>
      </c>
      <c r="S80" s="28">
        <v>900.06</v>
      </c>
      <c r="T80" s="28">
        <v>799.101</v>
      </c>
      <c r="U80" s="28">
        <v>748.95100000000002</v>
      </c>
      <c r="V80" s="28">
        <v>640.45399999999995</v>
      </c>
      <c r="W80" s="28">
        <v>491.34699999999998</v>
      </c>
      <c r="X80" s="28">
        <v>1936.441</v>
      </c>
      <c r="Y80" s="28">
        <v>986.78899999999999</v>
      </c>
      <c r="Z80" s="28">
        <v>524.25042868000014</v>
      </c>
      <c r="AA80" s="28">
        <v>306.88961403000002</v>
      </c>
      <c r="AB80" s="28">
        <v>322.07214605000001</v>
      </c>
      <c r="AC80" s="28">
        <v>369.83199999999999</v>
      </c>
      <c r="AD80" s="5"/>
      <c r="AE80" s="5"/>
      <c r="AF80" s="5"/>
    </row>
    <row r="81" spans="1:32" s="25" customFormat="1" ht="15.95" customHeight="1" x14ac:dyDescent="0.2">
      <c r="A81" s="30" t="s">
        <v>134</v>
      </c>
      <c r="B81" s="30" t="s">
        <v>155</v>
      </c>
      <c r="C81" s="31" t="s">
        <v>13</v>
      </c>
      <c r="D81" s="32" t="s">
        <v>154</v>
      </c>
      <c r="E81" s="32" t="s">
        <v>154</v>
      </c>
      <c r="F81" s="32" t="s">
        <v>154</v>
      </c>
      <c r="G81" s="32" t="s">
        <v>154</v>
      </c>
      <c r="H81" s="32" t="s">
        <v>154</v>
      </c>
      <c r="I81" s="32" t="s">
        <v>154</v>
      </c>
      <c r="J81" s="32" t="s">
        <v>154</v>
      </c>
      <c r="K81" s="32" t="s">
        <v>154</v>
      </c>
      <c r="L81" s="32" t="s">
        <v>154</v>
      </c>
      <c r="M81" s="32" t="s">
        <v>154</v>
      </c>
      <c r="N81" s="32" t="s">
        <v>154</v>
      </c>
      <c r="O81" s="32" t="s">
        <v>154</v>
      </c>
      <c r="P81" s="32" t="s">
        <v>154</v>
      </c>
      <c r="Q81" s="32">
        <v>0</v>
      </c>
      <c r="R81" s="32" t="s">
        <v>154</v>
      </c>
      <c r="S81" s="32" t="s">
        <v>154</v>
      </c>
      <c r="T81" s="32">
        <v>0</v>
      </c>
      <c r="U81" s="32">
        <v>0</v>
      </c>
      <c r="V81" s="32">
        <v>0</v>
      </c>
      <c r="W81" s="32">
        <v>0</v>
      </c>
      <c r="X81" s="32">
        <v>0</v>
      </c>
      <c r="Y81" s="32">
        <v>0</v>
      </c>
      <c r="Z81" s="32" t="s">
        <v>154</v>
      </c>
      <c r="AA81" s="32">
        <v>0</v>
      </c>
      <c r="AB81" s="32">
        <v>0</v>
      </c>
      <c r="AC81" s="32">
        <v>456500</v>
      </c>
      <c r="AD81" s="24"/>
      <c r="AE81" s="24"/>
      <c r="AF81" s="24"/>
    </row>
    <row r="82" spans="1:32" s="25" customFormat="1" ht="15.95" customHeight="1" x14ac:dyDescent="0.2">
      <c r="A82" s="30" t="s">
        <v>135</v>
      </c>
      <c r="B82" s="30" t="s">
        <v>136</v>
      </c>
      <c r="C82" s="31" t="s">
        <v>137</v>
      </c>
      <c r="D82" s="32">
        <v>12402.64</v>
      </c>
      <c r="E82" s="32">
        <v>12496.810299999999</v>
      </c>
      <c r="F82" s="32">
        <v>11019.97501</v>
      </c>
      <c r="G82" s="32">
        <v>10582.69859</v>
      </c>
      <c r="H82" s="32">
        <v>10593.842000000001</v>
      </c>
      <c r="I82" s="32">
        <v>10218.74834</v>
      </c>
      <c r="J82" s="32">
        <v>9879.0069999999978</v>
      </c>
      <c r="K82" s="32">
        <v>9593.8829999999998</v>
      </c>
      <c r="L82" s="32">
        <v>8869.6426208000012</v>
      </c>
      <c r="M82" s="32">
        <v>8410.3179848</v>
      </c>
      <c r="N82" s="32">
        <v>4019.307127</v>
      </c>
      <c r="O82" s="32">
        <v>3551.8492823000001</v>
      </c>
      <c r="P82" s="32">
        <v>2762.4994382999998</v>
      </c>
      <c r="Q82" s="32">
        <v>2873.8029999999999</v>
      </c>
      <c r="R82" s="32">
        <v>2786.3519999999999</v>
      </c>
      <c r="S82" s="32">
        <v>2241.7635500000001</v>
      </c>
      <c r="T82" s="32">
        <v>2269.4702900000002</v>
      </c>
      <c r="U82" s="32">
        <v>2253.3759894999998</v>
      </c>
      <c r="V82" s="32">
        <v>2174</v>
      </c>
      <c r="W82" s="32">
        <v>2174</v>
      </c>
      <c r="X82" s="32">
        <v>2170</v>
      </c>
      <c r="Y82" s="32">
        <v>2076.444</v>
      </c>
      <c r="Z82" s="32">
        <v>2241</v>
      </c>
      <c r="AA82" s="32">
        <v>2062</v>
      </c>
      <c r="AB82" s="32">
        <v>2281</v>
      </c>
      <c r="AC82" s="32">
        <v>2277</v>
      </c>
      <c r="AD82" s="24"/>
      <c r="AE82" s="24"/>
      <c r="AF82" s="24"/>
    </row>
    <row r="83" spans="1:32" s="25" customFormat="1" ht="15.95" customHeight="1" x14ac:dyDescent="0.2">
      <c r="A83" s="30" t="s">
        <v>138</v>
      </c>
      <c r="B83" s="30" t="s">
        <v>139</v>
      </c>
      <c r="C83" s="31" t="s">
        <v>21</v>
      </c>
      <c r="D83" s="32">
        <v>1310360.5619999999</v>
      </c>
      <c r="E83" s="32">
        <v>1417117.1897</v>
      </c>
      <c r="F83" s="32">
        <v>1497592.11302</v>
      </c>
      <c r="G83" s="32">
        <v>1596495.3163600001</v>
      </c>
      <c r="H83" s="32">
        <v>1602463.1708200001</v>
      </c>
      <c r="I83" s="32">
        <v>1653800.87943</v>
      </c>
      <c r="J83" s="32">
        <v>1733961.4777500001</v>
      </c>
      <c r="K83" s="32">
        <v>1783656.8573799999</v>
      </c>
      <c r="L83" s="32">
        <v>1029672.423194534</v>
      </c>
      <c r="M83" s="32">
        <v>1098425.310320223</v>
      </c>
      <c r="N83" s="32">
        <v>1127418.106712824</v>
      </c>
      <c r="O83" s="32">
        <v>1173014.198421716</v>
      </c>
      <c r="P83" s="32">
        <v>1188490.217953742</v>
      </c>
      <c r="Q83" s="32">
        <v>1199786.3891695361</v>
      </c>
      <c r="R83" s="32">
        <v>1267974.9910939001</v>
      </c>
      <c r="S83" s="32">
        <v>1051650.4438386241</v>
      </c>
      <c r="T83" s="32">
        <v>1068754.4031557611</v>
      </c>
      <c r="U83" s="32">
        <v>1055265.742552584</v>
      </c>
      <c r="V83" s="32">
        <v>1070751.779553032</v>
      </c>
      <c r="W83" s="32">
        <v>1087467.1736686321</v>
      </c>
      <c r="X83" s="32">
        <v>1152423.8184541811</v>
      </c>
      <c r="Y83" s="32">
        <v>1195087.412684472</v>
      </c>
      <c r="Z83" s="32">
        <v>1247434.984423022</v>
      </c>
      <c r="AA83" s="32">
        <v>1337746.511395572</v>
      </c>
      <c r="AB83" s="32">
        <v>1388754.4233599631</v>
      </c>
      <c r="AC83" s="32">
        <v>1518229.2100561601</v>
      </c>
      <c r="AD83" s="24"/>
      <c r="AE83" s="24"/>
      <c r="AF83" s="24"/>
    </row>
    <row r="84" spans="1:32" s="25" customFormat="1" ht="15.95" customHeight="1" x14ac:dyDescent="0.2">
      <c r="A84" s="30" t="s">
        <v>97</v>
      </c>
      <c r="B84" s="30" t="s">
        <v>98</v>
      </c>
      <c r="C84" s="31" t="s">
        <v>22</v>
      </c>
      <c r="D84" s="32">
        <v>352829.82</v>
      </c>
      <c r="E84" s="32">
        <v>622904.55700000003</v>
      </c>
      <c r="F84" s="32">
        <v>550179.28014000005</v>
      </c>
      <c r="G84" s="32">
        <v>472382.39500000002</v>
      </c>
      <c r="H84" s="32">
        <v>1637185.8231500001</v>
      </c>
      <c r="I84" s="32">
        <v>2201958.25587</v>
      </c>
      <c r="J84" s="32">
        <v>1963493.591</v>
      </c>
      <c r="K84" s="32">
        <v>2241378.8029999998</v>
      </c>
      <c r="L84" s="32">
        <v>19401652.895814002</v>
      </c>
      <c r="M84" s="32">
        <v>20832622.20623</v>
      </c>
      <c r="N84" s="32">
        <v>21868245.509119999</v>
      </c>
      <c r="O84" s="32">
        <v>23128842.308109999</v>
      </c>
      <c r="P84" s="32">
        <v>22443156.434110001</v>
      </c>
      <c r="Q84" s="32">
        <v>23391272.235429998</v>
      </c>
      <c r="R84" s="32">
        <v>25495675.065669999</v>
      </c>
      <c r="S84" s="32">
        <v>22876212.601670001</v>
      </c>
      <c r="T84" s="32">
        <v>23678839.491445258</v>
      </c>
      <c r="U84" s="32">
        <v>26925230.186790001</v>
      </c>
      <c r="V84" s="32">
        <v>27656573.506060001</v>
      </c>
      <c r="W84" s="32">
        <v>28711761.40693</v>
      </c>
      <c r="X84" s="32">
        <v>29924171.89686</v>
      </c>
      <c r="Y84" s="32">
        <v>31008821.777787808</v>
      </c>
      <c r="Z84" s="32">
        <v>32169170.380503129</v>
      </c>
      <c r="AA84" s="32">
        <v>34728859.856259987</v>
      </c>
      <c r="AB84" s="32">
        <v>36597296.95039665</v>
      </c>
      <c r="AC84" s="32">
        <v>38323619.169077262</v>
      </c>
      <c r="AD84" s="24"/>
      <c r="AE84" s="24"/>
      <c r="AF84" s="24"/>
    </row>
    <row r="85" spans="1:32" s="29" customFormat="1" ht="15.95" customHeight="1" x14ac:dyDescent="0.2">
      <c r="A85" s="26" t="s">
        <v>220</v>
      </c>
      <c r="B85" s="26" t="s">
        <v>222</v>
      </c>
      <c r="C85" s="110" t="s">
        <v>217</v>
      </c>
      <c r="D85" s="117">
        <v>0</v>
      </c>
      <c r="E85" s="28">
        <v>0</v>
      </c>
      <c r="F85" s="28">
        <v>0</v>
      </c>
      <c r="G85" s="28">
        <v>0</v>
      </c>
      <c r="H85" s="28">
        <v>0</v>
      </c>
      <c r="I85" s="28">
        <v>0</v>
      </c>
      <c r="J85" s="28">
        <v>0</v>
      </c>
      <c r="K85" s="28">
        <v>0</v>
      </c>
      <c r="L85" s="28">
        <v>18585552.722913999</v>
      </c>
      <c r="M85" s="28">
        <v>20049086.505600002</v>
      </c>
      <c r="N85" s="28">
        <v>20979158</v>
      </c>
      <c r="O85" s="28">
        <v>22136037</v>
      </c>
      <c r="P85" s="28">
        <v>21534212</v>
      </c>
      <c r="Q85" s="28">
        <v>22443788</v>
      </c>
      <c r="R85" s="28">
        <v>23053652</v>
      </c>
      <c r="S85" s="28">
        <v>20162891</v>
      </c>
      <c r="T85" s="28">
        <v>19821516.27612526</v>
      </c>
      <c r="U85" s="28">
        <v>23050372</v>
      </c>
      <c r="V85" s="28">
        <v>23757451.280000001</v>
      </c>
      <c r="W85" s="28">
        <v>24590612</v>
      </c>
      <c r="X85" s="28">
        <v>25595362</v>
      </c>
      <c r="Y85" s="28">
        <v>26683287.087037809</v>
      </c>
      <c r="Z85" s="28">
        <v>28350576</v>
      </c>
      <c r="AA85" s="28">
        <v>30878439</v>
      </c>
      <c r="AB85" s="28">
        <v>32809175</v>
      </c>
      <c r="AC85" s="28">
        <v>34620163</v>
      </c>
      <c r="AD85" s="5"/>
      <c r="AE85" s="5"/>
      <c r="AF85" s="5"/>
    </row>
    <row r="86" spans="1:32" s="29" customFormat="1" ht="15.95" customHeight="1" x14ac:dyDescent="0.2">
      <c r="A86" s="26" t="s">
        <v>221</v>
      </c>
      <c r="B86" s="26" t="s">
        <v>223</v>
      </c>
      <c r="C86" s="110" t="s">
        <v>218</v>
      </c>
      <c r="D86" s="28"/>
      <c r="E86" s="28" t="s">
        <v>154</v>
      </c>
      <c r="F86" s="28">
        <v>0</v>
      </c>
      <c r="G86" s="28" t="s">
        <v>154</v>
      </c>
      <c r="H86" s="28">
        <v>0</v>
      </c>
      <c r="I86" s="28">
        <v>24600</v>
      </c>
      <c r="J86" s="28">
        <v>0</v>
      </c>
      <c r="K86" s="28">
        <v>43285</v>
      </c>
      <c r="L86" s="28">
        <v>45468</v>
      </c>
      <c r="M86" s="28">
        <v>81688</v>
      </c>
      <c r="N86" s="28">
        <v>59666</v>
      </c>
      <c r="O86" s="28">
        <v>99500</v>
      </c>
      <c r="P86" s="28">
        <v>37964</v>
      </c>
      <c r="Q86" s="28">
        <v>21900</v>
      </c>
      <c r="R86" s="28">
        <v>93646</v>
      </c>
      <c r="S86" s="28">
        <v>30000</v>
      </c>
      <c r="T86" s="28">
        <v>538298.85799999908</v>
      </c>
      <c r="U86" s="28">
        <v>438120</v>
      </c>
      <c r="V86" s="28">
        <v>456697.46343999729</v>
      </c>
      <c r="W86" s="28">
        <v>335673.29419999942</v>
      </c>
      <c r="X86" s="28">
        <v>303012</v>
      </c>
      <c r="Y86" s="28">
        <v>253049</v>
      </c>
      <c r="Z86" s="28">
        <v>272473.71499999985</v>
      </c>
      <c r="AA86" s="28">
        <v>315549</v>
      </c>
      <c r="AB86" s="28">
        <v>366129</v>
      </c>
      <c r="AC86" s="28">
        <v>357617</v>
      </c>
      <c r="AD86" s="5"/>
      <c r="AE86" s="5"/>
      <c r="AF86" s="5"/>
    </row>
    <row r="87" spans="1:32" s="29" customFormat="1" ht="15.95" customHeight="1" x14ac:dyDescent="0.2">
      <c r="A87" s="26" t="s">
        <v>174</v>
      </c>
      <c r="B87" s="26" t="s">
        <v>175</v>
      </c>
      <c r="C87" s="110" t="s">
        <v>219</v>
      </c>
      <c r="D87" s="28">
        <v>352829.82</v>
      </c>
      <c r="E87" s="28">
        <v>622904.55700000003</v>
      </c>
      <c r="F87" s="28">
        <v>550179.28014000005</v>
      </c>
      <c r="G87" s="28">
        <v>472382.39500000002</v>
      </c>
      <c r="H87" s="28">
        <v>1637185.8231500001</v>
      </c>
      <c r="I87" s="28">
        <v>2177358.25587</v>
      </c>
      <c r="J87" s="28">
        <v>1963493.591</v>
      </c>
      <c r="K87" s="28">
        <v>2198093.8029999998</v>
      </c>
      <c r="L87" s="28">
        <v>770632.17290000001</v>
      </c>
      <c r="M87" s="28">
        <v>701847.70062999986</v>
      </c>
      <c r="N87" s="28">
        <v>829421.50912000006</v>
      </c>
      <c r="O87" s="28">
        <v>893305.30810999998</v>
      </c>
      <c r="P87" s="28">
        <v>870980.43411000003</v>
      </c>
      <c r="Q87" s="28">
        <v>925584.23543000012</v>
      </c>
      <c r="R87" s="28">
        <v>2348377.0656699999</v>
      </c>
      <c r="S87" s="28">
        <v>2683321.6016699998</v>
      </c>
      <c r="T87" s="28">
        <v>3319024.35732</v>
      </c>
      <c r="U87" s="28">
        <v>3436738.1867900002</v>
      </c>
      <c r="V87" s="28">
        <v>3442424.7626200002</v>
      </c>
      <c r="W87" s="28">
        <v>3785476.1127300002</v>
      </c>
      <c r="X87" s="28">
        <v>4025797.8968600002</v>
      </c>
      <c r="Y87" s="28">
        <v>4072485.6907500001</v>
      </c>
      <c r="Z87" s="28">
        <v>3546120.6655031261</v>
      </c>
      <c r="AA87" s="28">
        <v>3534871.8562599998</v>
      </c>
      <c r="AB87" s="28">
        <v>3421992.95039665</v>
      </c>
      <c r="AC87" s="28">
        <v>3345839.1690772623</v>
      </c>
      <c r="AD87" s="5"/>
      <c r="AE87" s="5"/>
      <c r="AF87" s="5"/>
    </row>
    <row r="88" spans="1:32" s="25" customFormat="1" ht="15.95" customHeight="1" x14ac:dyDescent="0.2">
      <c r="A88" s="30" t="s">
        <v>140</v>
      </c>
      <c r="B88" s="30" t="s">
        <v>141</v>
      </c>
      <c r="C88" s="31" t="s">
        <v>23</v>
      </c>
      <c r="D88" s="32">
        <v>41711.71</v>
      </c>
      <c r="E88" s="32">
        <v>11181.105890000001</v>
      </c>
      <c r="F88" s="32">
        <v>8089.8419999999996</v>
      </c>
      <c r="G88" s="32">
        <v>5988.9949999999999</v>
      </c>
      <c r="H88" s="32">
        <v>7738.56</v>
      </c>
      <c r="I88" s="32">
        <v>13080.750679999999</v>
      </c>
      <c r="J88" s="32">
        <v>27357.58</v>
      </c>
      <c r="K88" s="32">
        <v>8481.57</v>
      </c>
      <c r="L88" s="32">
        <v>1504.5426399999999</v>
      </c>
      <c r="M88" s="32">
        <v>2391.25783</v>
      </c>
      <c r="N88" s="32">
        <v>8582.9298199999994</v>
      </c>
      <c r="O88" s="32">
        <v>14971</v>
      </c>
      <c r="P88" s="32">
        <v>6123.5176499999998</v>
      </c>
      <c r="Q88" s="32">
        <v>3725.2398100000009</v>
      </c>
      <c r="R88" s="32">
        <v>2940.9514100000001</v>
      </c>
      <c r="S88" s="32">
        <v>-953.48639000000003</v>
      </c>
      <c r="T88" s="32">
        <v>2569</v>
      </c>
      <c r="U88" s="32">
        <v>-2004</v>
      </c>
      <c r="V88" s="32">
        <v>-6784.0213999999996</v>
      </c>
      <c r="W88" s="32">
        <v>-6797.9160000000002</v>
      </c>
      <c r="X88" s="32">
        <v>-14392</v>
      </c>
      <c r="Y88" s="32">
        <v>10978.31134</v>
      </c>
      <c r="Z88" s="32">
        <v>11033</v>
      </c>
      <c r="AA88" s="32">
        <v>13110</v>
      </c>
      <c r="AB88" s="32">
        <v>11041</v>
      </c>
      <c r="AC88" s="32">
        <v>10030</v>
      </c>
      <c r="AD88" s="24"/>
      <c r="AE88" s="24"/>
      <c r="AF88" s="24"/>
    </row>
    <row r="89" spans="1:32" s="39" customFormat="1" ht="20.100000000000001" customHeight="1" x14ac:dyDescent="0.2">
      <c r="A89" s="35" t="s">
        <v>101</v>
      </c>
      <c r="B89" s="35" t="s">
        <v>102</v>
      </c>
      <c r="C89" s="36" t="s">
        <v>24</v>
      </c>
      <c r="D89" s="37">
        <v>716668.62599999993</v>
      </c>
      <c r="E89" s="37">
        <v>753228.80876000004</v>
      </c>
      <c r="F89" s="37">
        <v>762419.69571999996</v>
      </c>
      <c r="G89" s="37">
        <v>816394.22183000005</v>
      </c>
      <c r="H89" s="37">
        <v>1128274.3073400001</v>
      </c>
      <c r="I89" s="37">
        <v>1175876.7050300001</v>
      </c>
      <c r="J89" s="37">
        <v>1564947.152</v>
      </c>
      <c r="K89" s="37">
        <v>1923306.5819999999</v>
      </c>
      <c r="L89" s="37">
        <v>1303483.1670230001</v>
      </c>
      <c r="M89" s="37">
        <v>1507785.42961656</v>
      </c>
      <c r="N89" s="37">
        <v>1726851.1248329</v>
      </c>
      <c r="O89" s="37">
        <v>1916142.5981365</v>
      </c>
      <c r="P89" s="37">
        <v>2114812.0988313002</v>
      </c>
      <c r="Q89" s="37">
        <v>2174114.0036025471</v>
      </c>
      <c r="R89" s="37">
        <v>2210781.4838999999</v>
      </c>
      <c r="S89" s="37">
        <v>107382.16310999999</v>
      </c>
      <c r="T89" s="37">
        <v>455803.65370999998</v>
      </c>
      <c r="U89" s="37">
        <v>154460.59459349999</v>
      </c>
      <c r="V89" s="37">
        <v>158404.31675570001</v>
      </c>
      <c r="W89" s="37">
        <v>158376.1926139</v>
      </c>
      <c r="X89" s="37">
        <v>268339.82410029997</v>
      </c>
      <c r="Y89" s="37">
        <v>161529.42595323201</v>
      </c>
      <c r="Z89" s="37">
        <v>713967.03983999998</v>
      </c>
      <c r="AA89" s="37">
        <v>855040.80851770006</v>
      </c>
      <c r="AB89" s="37">
        <v>795164.58477349998</v>
      </c>
      <c r="AC89" s="37">
        <v>1022970.8873431149</v>
      </c>
      <c r="AD89" s="38"/>
      <c r="AE89" s="38"/>
      <c r="AF89" s="38"/>
    </row>
    <row r="90" spans="1:32" s="45" customFormat="1" ht="24.95" customHeight="1" thickBot="1" x14ac:dyDescent="0.25">
      <c r="A90" s="40" t="s">
        <v>142</v>
      </c>
      <c r="B90" s="40" t="s">
        <v>143</v>
      </c>
      <c r="C90" s="41" t="s">
        <v>25</v>
      </c>
      <c r="D90" s="42">
        <v>38980242.972000003</v>
      </c>
      <c r="E90" s="42">
        <v>41261267.285340004</v>
      </c>
      <c r="F90" s="42">
        <v>43281394.179760002</v>
      </c>
      <c r="G90" s="42">
        <v>45740071.895230003</v>
      </c>
      <c r="H90" s="42">
        <v>49471194.458180003</v>
      </c>
      <c r="I90" s="42">
        <v>51489775.262560003</v>
      </c>
      <c r="J90" s="42">
        <v>53137694.574450001</v>
      </c>
      <c r="K90" s="42">
        <v>55551743.960129999</v>
      </c>
      <c r="L90" s="42">
        <v>55597964.64350085</v>
      </c>
      <c r="M90" s="42">
        <v>60005316.79828617</v>
      </c>
      <c r="N90" s="42">
        <v>62498799.437202722</v>
      </c>
      <c r="O90" s="42">
        <v>65753434.160070524</v>
      </c>
      <c r="P90" s="42">
        <v>67089304.179913342</v>
      </c>
      <c r="Q90" s="42">
        <v>69743794.864972085</v>
      </c>
      <c r="R90" s="42">
        <v>73219534.039343894</v>
      </c>
      <c r="S90" s="42">
        <v>63212126.102489561</v>
      </c>
      <c r="T90" s="42">
        <v>65299032.636351019</v>
      </c>
      <c r="U90" s="42">
        <v>68913399.054115579</v>
      </c>
      <c r="V90" s="42">
        <v>70920703.508738726</v>
      </c>
      <c r="W90" s="42">
        <v>73329306.571754724</v>
      </c>
      <c r="X90" s="42">
        <v>81169680.245554477</v>
      </c>
      <c r="Y90" s="42">
        <v>81725543.139398187</v>
      </c>
      <c r="Z90" s="42">
        <v>86385195.721542031</v>
      </c>
      <c r="AA90" s="42">
        <v>93354528.159817308</v>
      </c>
      <c r="AB90" s="42">
        <v>99309273.881186157</v>
      </c>
      <c r="AC90" s="42">
        <v>105421945.60847655</v>
      </c>
      <c r="AD90" s="43"/>
      <c r="AE90" s="43"/>
      <c r="AF90" s="43"/>
    </row>
    <row r="91" spans="1:32" s="20" customFormat="1" ht="15" customHeight="1" thickBot="1" x14ac:dyDescent="0.25">
      <c r="A91" s="54"/>
      <c r="B91" s="54"/>
      <c r="C91" s="55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"/>
      <c r="AE91" s="5"/>
      <c r="AF91" s="5"/>
    </row>
    <row r="92" spans="1:32" s="45" customFormat="1" ht="24.95" customHeight="1" thickBot="1" x14ac:dyDescent="0.25">
      <c r="A92" s="57" t="s">
        <v>144</v>
      </c>
      <c r="B92" s="57" t="s">
        <v>145</v>
      </c>
      <c r="C92" s="58" t="s">
        <v>5</v>
      </c>
      <c r="D92" s="59">
        <v>1722880.3060000059</v>
      </c>
      <c r="E92" s="59">
        <v>380780.2720999968</v>
      </c>
      <c r="F92" s="59">
        <v>1413034.0580499929</v>
      </c>
      <c r="G92" s="59">
        <v>-830480.83052998479</v>
      </c>
      <c r="H92" s="59">
        <v>-386005.64450000081</v>
      </c>
      <c r="I92" s="59">
        <v>191729.4335299927</v>
      </c>
      <c r="J92" s="59">
        <v>207317.11107000129</v>
      </c>
      <c r="K92" s="59">
        <v>1102192.1426999939</v>
      </c>
      <c r="L92" s="59">
        <v>751703.63587415288</v>
      </c>
      <c r="M92" s="59">
        <v>-2743250.7838451802</v>
      </c>
      <c r="N92" s="59">
        <v>-1047239.431225435</v>
      </c>
      <c r="O92" s="59">
        <v>-911046.59213216056</v>
      </c>
      <c r="P92" s="59">
        <v>276045.07656206458</v>
      </c>
      <c r="Q92" s="59">
        <v>-11595.076941835079</v>
      </c>
      <c r="R92" s="59">
        <v>-262583.61044898292</v>
      </c>
      <c r="S92" s="59">
        <v>344900.70311772358</v>
      </c>
      <c r="T92" s="59">
        <v>-877165.59743846802</v>
      </c>
      <c r="U92" s="59">
        <v>598923.49205831322</v>
      </c>
      <c r="V92" s="59">
        <v>-511514.99512936472</v>
      </c>
      <c r="W92" s="59">
        <v>968827.98564234411</v>
      </c>
      <c r="X92" s="59">
        <v>563988.21343984979</v>
      </c>
      <c r="Y92" s="59">
        <v>532420.36902867036</v>
      </c>
      <c r="Z92" s="59">
        <v>-842635.31268974137</v>
      </c>
      <c r="AA92" s="59">
        <v>240711.3810128959</v>
      </c>
      <c r="AB92" s="59">
        <v>83881.716939007005</v>
      </c>
      <c r="AC92" s="59">
        <v>-3021259.5417370722</v>
      </c>
      <c r="AD92" s="5"/>
      <c r="AE92" s="5"/>
      <c r="AF92" s="5"/>
    </row>
    <row r="93" spans="1:32" s="20" customFormat="1" ht="24.95" customHeight="1" thickBot="1" x14ac:dyDescent="0.25">
      <c r="A93" s="60"/>
      <c r="B93" s="61"/>
      <c r="C93" s="62"/>
      <c r="D93" s="63"/>
      <c r="E93" s="63"/>
      <c r="F93" s="63"/>
      <c r="G93" s="63"/>
      <c r="H93" s="63"/>
      <c r="I93" s="63"/>
      <c r="J93" s="63"/>
      <c r="K93" s="63"/>
      <c r="L93" s="63"/>
      <c r="M93" s="63"/>
      <c r="N93" s="63"/>
      <c r="O93" s="63"/>
      <c r="P93" s="63"/>
      <c r="Q93" s="63"/>
      <c r="R93" s="63"/>
      <c r="S93" s="63"/>
      <c r="T93" s="63"/>
      <c r="U93" s="63"/>
      <c r="V93" s="63"/>
      <c r="W93" s="63"/>
      <c r="X93" s="63"/>
      <c r="Y93" s="63"/>
      <c r="Z93" s="63"/>
      <c r="AA93" s="63"/>
      <c r="AB93" s="63"/>
      <c r="AC93" s="63"/>
      <c r="AD93" s="5"/>
      <c r="AE93" s="5"/>
      <c r="AF93" s="5"/>
    </row>
    <row r="94" spans="1:32" s="20" customFormat="1" ht="30" customHeight="1" x14ac:dyDescent="0.2">
      <c r="A94" s="17" t="s">
        <v>42</v>
      </c>
      <c r="B94" s="17" t="s">
        <v>28</v>
      </c>
      <c r="C94" s="18"/>
      <c r="D94" s="19" t="str">
        <f t="shared" ref="D94:AC94" si="17">D16</f>
        <v xml:space="preserve"> 2000 </v>
      </c>
      <c r="E94" s="19" t="str">
        <f t="shared" si="17"/>
        <v xml:space="preserve"> 2001 </v>
      </c>
      <c r="F94" s="19" t="str">
        <f t="shared" si="17"/>
        <v xml:space="preserve"> 2002 </v>
      </c>
      <c r="G94" s="19" t="str">
        <f t="shared" si="17"/>
        <v xml:space="preserve"> 2003 </v>
      </c>
      <c r="H94" s="19" t="str">
        <f t="shared" si="17"/>
        <v xml:space="preserve"> 2004 </v>
      </c>
      <c r="I94" s="19" t="str">
        <f t="shared" si="17"/>
        <v xml:space="preserve"> 2005 </v>
      </c>
      <c r="J94" s="19" t="str">
        <f t="shared" si="17"/>
        <v xml:space="preserve"> 2006 </v>
      </c>
      <c r="K94" s="19" t="str">
        <f t="shared" si="17"/>
        <v xml:space="preserve"> 2007 </v>
      </c>
      <c r="L94" s="19" t="str">
        <f t="shared" si="17"/>
        <v xml:space="preserve"> 2008 </v>
      </c>
      <c r="M94" s="19" t="str">
        <f t="shared" si="17"/>
        <v xml:space="preserve"> 2009 </v>
      </c>
      <c r="N94" s="19" t="str">
        <f t="shared" si="17"/>
        <v xml:space="preserve"> 2010 </v>
      </c>
      <c r="O94" s="19" t="str">
        <f t="shared" si="17"/>
        <v xml:space="preserve"> 2011 </v>
      </c>
      <c r="P94" s="19" t="str">
        <f t="shared" si="17"/>
        <v xml:space="preserve"> 2012 </v>
      </c>
      <c r="Q94" s="19" t="str">
        <f t="shared" si="17"/>
        <v xml:space="preserve"> 2013 </v>
      </c>
      <c r="R94" s="19" t="str">
        <f t="shared" si="17"/>
        <v xml:space="preserve"> 2014 </v>
      </c>
      <c r="S94" s="19" t="str">
        <f t="shared" si="17"/>
        <v xml:space="preserve"> 2015 </v>
      </c>
      <c r="T94" s="19" t="str">
        <f t="shared" si="17"/>
        <v xml:space="preserve"> 2016 </v>
      </c>
      <c r="U94" s="19" t="str">
        <f t="shared" si="17"/>
        <v xml:space="preserve"> 2017 </v>
      </c>
      <c r="V94" s="19" t="str">
        <f t="shared" si="17"/>
        <v xml:space="preserve"> 2018 </v>
      </c>
      <c r="W94" s="19" t="str">
        <f t="shared" si="17"/>
        <v xml:space="preserve"> 2019 </v>
      </c>
      <c r="X94" s="19" t="str">
        <f t="shared" si="17"/>
        <v xml:space="preserve"> 2020 </v>
      </c>
      <c r="Y94" s="19" t="str">
        <f t="shared" si="17"/>
        <v xml:space="preserve"> 2021 </v>
      </c>
      <c r="Z94" s="19" t="str">
        <f t="shared" si="17"/>
        <v xml:space="preserve"> 2022 </v>
      </c>
      <c r="AA94" s="19" t="str">
        <f t="shared" si="17"/>
        <v xml:space="preserve"> 2023 </v>
      </c>
      <c r="AB94" s="19" t="str">
        <f t="shared" si="17"/>
        <v xml:space="preserve"> 2024 </v>
      </c>
      <c r="AC94" s="19" t="str">
        <f t="shared" si="17"/>
        <v xml:space="preserve"> 2025 </v>
      </c>
      <c r="AD94" s="5"/>
      <c r="AE94" s="5"/>
      <c r="AF94" s="5"/>
    </row>
    <row r="95" spans="1:32" s="25" customFormat="1" ht="20.100000000000001" customHeight="1" x14ac:dyDescent="0.2">
      <c r="A95" s="64" t="s">
        <v>146</v>
      </c>
      <c r="B95" s="64" t="s">
        <v>147</v>
      </c>
      <c r="C95" s="65" t="s">
        <v>6</v>
      </c>
      <c r="D95" s="66" t="s">
        <v>154</v>
      </c>
      <c r="E95" s="66" t="s">
        <v>154</v>
      </c>
      <c r="F95" s="66">
        <v>0</v>
      </c>
      <c r="G95" s="66">
        <v>0</v>
      </c>
      <c r="H95" s="66">
        <v>0</v>
      </c>
      <c r="I95" s="66">
        <v>0</v>
      </c>
      <c r="J95" s="66">
        <v>75768</v>
      </c>
      <c r="K95" s="66">
        <v>336714</v>
      </c>
      <c r="L95" s="66">
        <v>4138.0141300000014</v>
      </c>
      <c r="M95" s="66">
        <v>42</v>
      </c>
      <c r="N95" s="66">
        <v>952658</v>
      </c>
      <c r="O95" s="66">
        <v>290000</v>
      </c>
      <c r="P95" s="66">
        <v>107</v>
      </c>
      <c r="Q95" s="66">
        <v>64</v>
      </c>
      <c r="R95" s="66">
        <v>0</v>
      </c>
      <c r="S95" s="66">
        <v>280</v>
      </c>
      <c r="T95" s="66">
        <v>95</v>
      </c>
      <c r="U95" s="66">
        <v>53</v>
      </c>
      <c r="V95" s="66">
        <v>-2</v>
      </c>
      <c r="W95" s="66">
        <v>162</v>
      </c>
      <c r="X95" s="66">
        <v>0</v>
      </c>
      <c r="Y95" s="66">
        <v>0</v>
      </c>
      <c r="Z95" s="66">
        <v>0</v>
      </c>
      <c r="AA95" s="66">
        <v>500</v>
      </c>
      <c r="AB95" s="66">
        <v>500</v>
      </c>
      <c r="AC95" s="66">
        <v>500</v>
      </c>
      <c r="AD95" s="24"/>
      <c r="AE95" s="24"/>
      <c r="AF95" s="24"/>
    </row>
    <row r="96" spans="1:32" s="39" customFormat="1" ht="20.100000000000001" customHeight="1" thickBot="1" x14ac:dyDescent="0.25">
      <c r="A96" s="67" t="s">
        <v>148</v>
      </c>
      <c r="B96" s="67" t="s">
        <v>149</v>
      </c>
      <c r="C96" s="68" t="s">
        <v>7</v>
      </c>
      <c r="D96" s="69">
        <v>235223.527</v>
      </c>
      <c r="E96" s="69">
        <v>44706.989000000001</v>
      </c>
      <c r="F96" s="69">
        <v>44752.084000000003</v>
      </c>
      <c r="G96" s="69">
        <v>44798.180999999997</v>
      </c>
      <c r="H96" s="69">
        <v>44846.36</v>
      </c>
      <c r="I96" s="69">
        <v>15863.72</v>
      </c>
      <c r="J96" s="69">
        <v>91679.35</v>
      </c>
      <c r="K96" s="69">
        <v>317485.25</v>
      </c>
      <c r="L96" s="69">
        <v>414961.00001999998</v>
      </c>
      <c r="M96" s="69">
        <v>1158.3726899999999</v>
      </c>
      <c r="N96" s="69">
        <v>744</v>
      </c>
      <c r="O96" s="69">
        <v>766</v>
      </c>
      <c r="P96" s="69">
        <v>62920.9</v>
      </c>
      <c r="Q96" s="69">
        <v>62942.9</v>
      </c>
      <c r="R96" s="69">
        <v>62965.9</v>
      </c>
      <c r="S96" s="69">
        <v>62132.9</v>
      </c>
      <c r="T96" s="69">
        <v>62132.9</v>
      </c>
      <c r="U96" s="69">
        <v>62132.9</v>
      </c>
      <c r="V96" s="69">
        <v>62132.9</v>
      </c>
      <c r="W96" s="69">
        <v>62307.9</v>
      </c>
      <c r="X96" s="69">
        <v>62132.9</v>
      </c>
      <c r="Y96" s="69">
        <v>62132.9</v>
      </c>
      <c r="Z96" s="69">
        <v>64632.9</v>
      </c>
      <c r="AA96" s="69">
        <v>62132.9</v>
      </c>
      <c r="AB96" s="69">
        <v>62132.9</v>
      </c>
      <c r="AC96" s="69">
        <v>70032.899999999994</v>
      </c>
      <c r="AD96" s="38"/>
      <c r="AE96" s="38"/>
      <c r="AF96" s="38"/>
    </row>
    <row r="97" spans="1:39" s="39" customFormat="1" ht="24.95" customHeight="1" thickBot="1" x14ac:dyDescent="0.25">
      <c r="A97" s="70" t="s">
        <v>150</v>
      </c>
      <c r="B97" s="70" t="s">
        <v>151</v>
      </c>
      <c r="C97" s="71" t="s">
        <v>8</v>
      </c>
      <c r="D97" s="72">
        <v>-235223.527</v>
      </c>
      <c r="E97" s="72">
        <v>-44706.989000000001</v>
      </c>
      <c r="F97" s="72">
        <v>-44752.084000000003</v>
      </c>
      <c r="G97" s="72">
        <v>-44798.180999999997</v>
      </c>
      <c r="H97" s="72">
        <v>-44846.36</v>
      </c>
      <c r="I97" s="72">
        <v>-15863.72</v>
      </c>
      <c r="J97" s="72">
        <v>-15911.350000000009</v>
      </c>
      <c r="K97" s="72">
        <v>19228.75</v>
      </c>
      <c r="L97" s="72">
        <v>-410822.98589000001</v>
      </c>
      <c r="M97" s="72">
        <v>-1116.3726899999999</v>
      </c>
      <c r="N97" s="72">
        <v>951914</v>
      </c>
      <c r="O97" s="72">
        <v>289234</v>
      </c>
      <c r="P97" s="72">
        <v>-62813.9</v>
      </c>
      <c r="Q97" s="72">
        <v>-62878.9</v>
      </c>
      <c r="R97" s="72">
        <v>-62965.9</v>
      </c>
      <c r="S97" s="72">
        <v>-61852.9</v>
      </c>
      <c r="T97" s="72">
        <v>-62037.9</v>
      </c>
      <c r="U97" s="72">
        <v>-62079.9</v>
      </c>
      <c r="V97" s="72">
        <v>-62134.9</v>
      </c>
      <c r="W97" s="72">
        <v>-62145.9</v>
      </c>
      <c r="X97" s="72">
        <v>-62132.9</v>
      </c>
      <c r="Y97" s="72">
        <v>-62132.9</v>
      </c>
      <c r="Z97" s="72">
        <v>-64632.9</v>
      </c>
      <c r="AA97" s="72">
        <v>-61632.9</v>
      </c>
      <c r="AB97" s="72">
        <v>-61632.9</v>
      </c>
      <c r="AC97" s="72">
        <v>-69532.899999999994</v>
      </c>
      <c r="AD97" s="5"/>
      <c r="AE97" s="5"/>
      <c r="AF97" s="5"/>
    </row>
    <row r="98" spans="1:39" ht="20.100000000000001" customHeight="1" thickBot="1" x14ac:dyDescent="0.25">
      <c r="A98" s="73"/>
      <c r="B98" s="73"/>
    </row>
    <row r="99" spans="1:39" s="39" customFormat="1" ht="24.95" customHeight="1" thickBot="1" x14ac:dyDescent="0.25">
      <c r="A99" s="75" t="s">
        <v>152</v>
      </c>
      <c r="B99" s="75" t="s">
        <v>153</v>
      </c>
      <c r="C99" s="71" t="s">
        <v>9</v>
      </c>
      <c r="D99" s="72">
        <v>1487656.7790000059</v>
      </c>
      <c r="E99" s="72">
        <v>336073.2830999968</v>
      </c>
      <c r="F99" s="72">
        <v>1368281.9740499931</v>
      </c>
      <c r="G99" s="72">
        <v>-875279.01152998477</v>
      </c>
      <c r="H99" s="72">
        <v>-430852.00450000068</v>
      </c>
      <c r="I99" s="72">
        <v>175865.7135299927</v>
      </c>
      <c r="J99" s="72">
        <v>191405.7610700012</v>
      </c>
      <c r="K99" s="72">
        <v>1121421.058140002</v>
      </c>
      <c r="L99" s="72">
        <v>340880.64998415287</v>
      </c>
      <c r="M99" s="72">
        <v>-2744367.1565351798</v>
      </c>
      <c r="N99" s="72">
        <v>-95325.431225435314</v>
      </c>
      <c r="O99" s="72">
        <v>-621812.59213216056</v>
      </c>
      <c r="P99" s="72">
        <v>213231.17656206459</v>
      </c>
      <c r="Q99" s="72">
        <v>-74473.976941835077</v>
      </c>
      <c r="R99" s="72">
        <v>-325549.51044898288</v>
      </c>
      <c r="S99" s="72">
        <v>283047.80311772361</v>
      </c>
      <c r="T99" s="72">
        <v>-939203.49743846804</v>
      </c>
      <c r="U99" s="72">
        <v>536843.5920583132</v>
      </c>
      <c r="V99" s="72">
        <v>-573649.89512936468</v>
      </c>
      <c r="W99" s="72">
        <v>906682.08564234409</v>
      </c>
      <c r="X99" s="72">
        <v>501855.31343984982</v>
      </c>
      <c r="Y99" s="72">
        <v>470287.46902867028</v>
      </c>
      <c r="Z99" s="72">
        <v>-907268.21268974151</v>
      </c>
      <c r="AA99" s="72">
        <v>179078.48101289591</v>
      </c>
      <c r="AB99" s="72">
        <v>22248.816939007003</v>
      </c>
      <c r="AC99" s="72">
        <v>-3090792.4417370721</v>
      </c>
      <c r="AD99" s="5"/>
      <c r="AE99" s="5"/>
      <c r="AF99" s="5"/>
    </row>
    <row r="100" spans="1:39" s="5" customFormat="1" ht="20.100000000000001" customHeight="1" x14ac:dyDescent="0.2">
      <c r="C100" s="16"/>
    </row>
    <row r="101" spans="1:39" s="5" customFormat="1" ht="20.100000000000001" customHeight="1" x14ac:dyDescent="0.2">
      <c r="C101" s="1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  <c r="U101" s="76"/>
      <c r="V101" s="76"/>
      <c r="W101" s="76"/>
      <c r="X101" s="76"/>
      <c r="Y101" s="76"/>
      <c r="Z101" s="76"/>
      <c r="AA101" s="76"/>
      <c r="AB101" s="76"/>
      <c r="AC101" s="76"/>
    </row>
    <row r="102" spans="1:39" s="5" customFormat="1" ht="20.100000000000001" customHeight="1" x14ac:dyDescent="0.2">
      <c r="C102" s="16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76"/>
      <c r="AA102" s="76"/>
      <c r="AB102" s="76"/>
      <c r="AC102" s="76"/>
    </row>
    <row r="103" spans="1:39" s="5" customFormat="1" ht="20.100000000000001" customHeight="1" x14ac:dyDescent="0.2">
      <c r="C103" s="16"/>
      <c r="D103" s="76"/>
      <c r="E103" s="7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 s="76"/>
    </row>
    <row r="104" spans="1:39" s="5" customFormat="1" ht="30" customHeight="1" x14ac:dyDescent="0.2">
      <c r="C104" s="16"/>
      <c r="D104" s="76"/>
      <c r="E104" s="7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</row>
    <row r="105" spans="1:39" s="5" customFormat="1" x14ac:dyDescent="0.2">
      <c r="C105" s="16"/>
      <c r="D105" s="76"/>
      <c r="E105" s="7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 s="76"/>
      <c r="AE105" s="76"/>
      <c r="AF105" s="76"/>
    </row>
    <row r="106" spans="1:39" s="5" customFormat="1" x14ac:dyDescent="0.2">
      <c r="C106" s="16"/>
    </row>
    <row r="107" spans="1:39" s="5" customFormat="1" x14ac:dyDescent="0.2">
      <c r="C107" s="16"/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76"/>
      <c r="S107" s="76"/>
      <c r="T107" s="76"/>
      <c r="U107" s="76"/>
      <c r="V107" s="76"/>
      <c r="W107" s="76"/>
      <c r="X107" s="76"/>
      <c r="Y107" s="76"/>
      <c r="Z107" s="76"/>
      <c r="AA107" s="76"/>
      <c r="AB107" s="76"/>
      <c r="AC107" s="76"/>
      <c r="AD107" s="76"/>
      <c r="AE107" s="76"/>
      <c r="AF107" s="76"/>
      <c r="AG107" s="76"/>
      <c r="AH107" s="76"/>
      <c r="AI107" s="76"/>
      <c r="AJ107" s="76"/>
      <c r="AK107" s="76"/>
      <c r="AL107" s="76"/>
      <c r="AM107" s="76"/>
    </row>
    <row r="108" spans="1:39" s="5" customFormat="1" x14ac:dyDescent="0.2">
      <c r="C108" s="16"/>
    </row>
    <row r="109" spans="1:39" s="5" customFormat="1" x14ac:dyDescent="0.2">
      <c r="C109" s="16"/>
    </row>
    <row r="110" spans="1:39" s="5" customFormat="1" x14ac:dyDescent="0.2">
      <c r="C110" s="16"/>
    </row>
    <row r="111" spans="1:39" s="5" customFormat="1" x14ac:dyDescent="0.2">
      <c r="C111" s="16"/>
    </row>
    <row r="112" spans="1:39" s="5" customFormat="1" x14ac:dyDescent="0.2">
      <c r="C112" s="16"/>
    </row>
    <row r="113" spans="3:3" s="5" customFormat="1" x14ac:dyDescent="0.2">
      <c r="C113" s="16"/>
    </row>
    <row r="114" spans="3:3" s="5" customFormat="1" x14ac:dyDescent="0.2">
      <c r="C114" s="16"/>
    </row>
    <row r="115" spans="3:3" s="5" customFormat="1" x14ac:dyDescent="0.2">
      <c r="C115" s="16"/>
    </row>
    <row r="116" spans="3:3" s="5" customFormat="1" x14ac:dyDescent="0.2">
      <c r="C116" s="16"/>
    </row>
    <row r="117" spans="3:3" s="5" customFormat="1" x14ac:dyDescent="0.2">
      <c r="C117" s="16"/>
    </row>
    <row r="118" spans="3:3" s="5" customFormat="1" x14ac:dyDescent="0.2">
      <c r="C118" s="16"/>
    </row>
    <row r="119" spans="3:3" s="5" customFormat="1" x14ac:dyDescent="0.2">
      <c r="C119" s="16"/>
    </row>
    <row r="120" spans="3:3" s="5" customFormat="1" x14ac:dyDescent="0.2">
      <c r="C120" s="16"/>
    </row>
    <row r="121" spans="3:3" s="5" customFormat="1" x14ac:dyDescent="0.2">
      <c r="C121" s="16"/>
    </row>
    <row r="122" spans="3:3" s="5" customFormat="1" x14ac:dyDescent="0.2">
      <c r="C122" s="16"/>
    </row>
    <row r="123" spans="3:3" s="5" customFormat="1" x14ac:dyDescent="0.2">
      <c r="C123" s="16"/>
    </row>
    <row r="124" spans="3:3" s="5" customFormat="1" x14ac:dyDescent="0.2">
      <c r="C124" s="16"/>
    </row>
    <row r="125" spans="3:3" s="5" customFormat="1" x14ac:dyDescent="0.2">
      <c r="C125" s="16"/>
    </row>
    <row r="126" spans="3:3" s="5" customFormat="1" x14ac:dyDescent="0.2">
      <c r="C126" s="16"/>
    </row>
    <row r="127" spans="3:3" s="5" customFormat="1" x14ac:dyDescent="0.2">
      <c r="C127" s="16"/>
    </row>
    <row r="128" spans="3:3" s="5" customFormat="1" x14ac:dyDescent="0.2">
      <c r="C128" s="16"/>
    </row>
    <row r="129" spans="3:3" s="5" customFormat="1" x14ac:dyDescent="0.2">
      <c r="C129" s="16"/>
    </row>
    <row r="130" spans="3:3" s="5" customFormat="1" x14ac:dyDescent="0.2">
      <c r="C130" s="16"/>
    </row>
    <row r="131" spans="3:3" s="5" customFormat="1" x14ac:dyDescent="0.2">
      <c r="C131" s="16"/>
    </row>
    <row r="132" spans="3:3" s="5" customFormat="1" x14ac:dyDescent="0.2">
      <c r="C132" s="16"/>
    </row>
    <row r="133" spans="3:3" s="5" customFormat="1" x14ac:dyDescent="0.2">
      <c r="C133" s="16"/>
    </row>
    <row r="134" spans="3:3" s="5" customFormat="1" x14ac:dyDescent="0.2">
      <c r="C134" s="16"/>
    </row>
    <row r="135" spans="3:3" s="5" customFormat="1" x14ac:dyDescent="0.2">
      <c r="C135" s="16"/>
    </row>
    <row r="136" spans="3:3" s="5" customFormat="1" x14ac:dyDescent="0.2">
      <c r="C136" s="16"/>
    </row>
    <row r="137" spans="3:3" s="5" customFormat="1" x14ac:dyDescent="0.2">
      <c r="C137" s="16"/>
    </row>
    <row r="138" spans="3:3" s="5" customFormat="1" x14ac:dyDescent="0.2">
      <c r="C138" s="16"/>
    </row>
    <row r="139" spans="3:3" s="5" customFormat="1" x14ac:dyDescent="0.2">
      <c r="C139" s="16"/>
    </row>
    <row r="140" spans="3:3" s="5" customFormat="1" x14ac:dyDescent="0.2">
      <c r="C140" s="16"/>
    </row>
    <row r="141" spans="3:3" s="5" customFormat="1" x14ac:dyDescent="0.2">
      <c r="C141" s="16"/>
    </row>
    <row r="142" spans="3:3" s="5" customFormat="1" x14ac:dyDescent="0.2">
      <c r="C142" s="16"/>
    </row>
    <row r="143" spans="3:3" s="5" customFormat="1" x14ac:dyDescent="0.2">
      <c r="C143" s="16"/>
    </row>
    <row r="144" spans="3:3" s="5" customFormat="1" x14ac:dyDescent="0.2">
      <c r="C144" s="16"/>
    </row>
    <row r="145" spans="3:3" s="5" customFormat="1" x14ac:dyDescent="0.2">
      <c r="C145" s="16"/>
    </row>
    <row r="146" spans="3:3" s="5" customFormat="1" x14ac:dyDescent="0.2">
      <c r="C146" s="16"/>
    </row>
    <row r="147" spans="3:3" s="5" customFormat="1" x14ac:dyDescent="0.2">
      <c r="C147" s="16"/>
    </row>
    <row r="148" spans="3:3" s="5" customFormat="1" x14ac:dyDescent="0.2">
      <c r="C148" s="16"/>
    </row>
    <row r="149" spans="3:3" s="5" customFormat="1" x14ac:dyDescent="0.2">
      <c r="C149" s="16"/>
    </row>
    <row r="150" spans="3:3" s="5" customFormat="1" x14ac:dyDescent="0.2">
      <c r="C150" s="16"/>
    </row>
    <row r="151" spans="3:3" s="5" customFormat="1" x14ac:dyDescent="0.2">
      <c r="C151" s="16"/>
    </row>
    <row r="152" spans="3:3" s="5" customFormat="1" x14ac:dyDescent="0.2">
      <c r="C152" s="16"/>
    </row>
    <row r="153" spans="3:3" s="5" customFormat="1" x14ac:dyDescent="0.2">
      <c r="C153" s="16"/>
    </row>
    <row r="154" spans="3:3" s="5" customFormat="1" x14ac:dyDescent="0.2">
      <c r="C154" s="16"/>
    </row>
    <row r="155" spans="3:3" s="5" customFormat="1" x14ac:dyDescent="0.2">
      <c r="C155" s="16"/>
    </row>
    <row r="156" spans="3:3" s="5" customFormat="1" x14ac:dyDescent="0.2">
      <c r="C156" s="16"/>
    </row>
    <row r="157" spans="3:3" s="5" customFormat="1" x14ac:dyDescent="0.2">
      <c r="C157" s="16"/>
    </row>
    <row r="158" spans="3:3" s="5" customFormat="1" x14ac:dyDescent="0.2">
      <c r="C158" s="16"/>
    </row>
    <row r="159" spans="3:3" s="5" customFormat="1" x14ac:dyDescent="0.2">
      <c r="C159" s="16"/>
    </row>
    <row r="160" spans="3:3" s="5" customFormat="1" x14ac:dyDescent="0.2">
      <c r="C160" s="16"/>
    </row>
    <row r="161" spans="3:3" s="5" customFormat="1" x14ac:dyDescent="0.2">
      <c r="C161" s="16"/>
    </row>
    <row r="162" spans="3:3" s="5" customFormat="1" x14ac:dyDescent="0.2">
      <c r="C162" s="16"/>
    </row>
    <row r="163" spans="3:3" s="5" customFormat="1" x14ac:dyDescent="0.2">
      <c r="C163" s="16"/>
    </row>
    <row r="164" spans="3:3" s="5" customFormat="1" x14ac:dyDescent="0.2">
      <c r="C164" s="16"/>
    </row>
    <row r="165" spans="3:3" s="5" customFormat="1" x14ac:dyDescent="0.2">
      <c r="C165" s="16"/>
    </row>
    <row r="166" spans="3:3" s="5" customFormat="1" x14ac:dyDescent="0.2">
      <c r="C166" s="16"/>
    </row>
    <row r="167" spans="3:3" s="5" customFormat="1" x14ac:dyDescent="0.2">
      <c r="C167" s="16"/>
    </row>
    <row r="168" spans="3:3" s="5" customFormat="1" x14ac:dyDescent="0.2">
      <c r="C168" s="16"/>
    </row>
    <row r="169" spans="3:3" s="5" customFormat="1" x14ac:dyDescent="0.2">
      <c r="C169" s="16"/>
    </row>
    <row r="170" spans="3:3" s="5" customFormat="1" x14ac:dyDescent="0.2">
      <c r="C170" s="16"/>
    </row>
    <row r="171" spans="3:3" s="5" customFormat="1" x14ac:dyDescent="0.2">
      <c r="C171" s="16"/>
    </row>
    <row r="172" spans="3:3" s="5" customFormat="1" x14ac:dyDescent="0.2">
      <c r="C172" s="16"/>
    </row>
    <row r="173" spans="3:3" s="5" customFormat="1" x14ac:dyDescent="0.2">
      <c r="C173" s="16"/>
    </row>
    <row r="174" spans="3:3" s="5" customFormat="1" x14ac:dyDescent="0.2">
      <c r="C174" s="16"/>
    </row>
    <row r="175" spans="3:3" s="5" customFormat="1" x14ac:dyDescent="0.2">
      <c r="C175" s="16"/>
    </row>
    <row r="176" spans="3:3" s="5" customFormat="1" x14ac:dyDescent="0.2">
      <c r="C176" s="16"/>
    </row>
    <row r="177" spans="3:3" s="5" customFormat="1" x14ac:dyDescent="0.2">
      <c r="C177" s="16"/>
    </row>
    <row r="178" spans="3:3" s="5" customFormat="1" x14ac:dyDescent="0.2">
      <c r="C178" s="16"/>
    </row>
    <row r="179" spans="3:3" s="5" customFormat="1" x14ac:dyDescent="0.2">
      <c r="C179" s="16"/>
    </row>
    <row r="180" spans="3:3" s="5" customFormat="1" x14ac:dyDescent="0.2">
      <c r="C180" s="16"/>
    </row>
    <row r="181" spans="3:3" s="5" customFormat="1" x14ac:dyDescent="0.2">
      <c r="C181" s="16"/>
    </row>
    <row r="182" spans="3:3" s="5" customFormat="1" x14ac:dyDescent="0.2">
      <c r="C182" s="16"/>
    </row>
    <row r="183" spans="3:3" s="5" customFormat="1" x14ac:dyDescent="0.2">
      <c r="C183" s="16"/>
    </row>
    <row r="184" spans="3:3" s="5" customFormat="1" x14ac:dyDescent="0.2">
      <c r="C184" s="16"/>
    </row>
    <row r="185" spans="3:3" s="5" customFormat="1" x14ac:dyDescent="0.2">
      <c r="C185" s="16"/>
    </row>
    <row r="186" spans="3:3" s="5" customFormat="1" x14ac:dyDescent="0.2">
      <c r="C186" s="16"/>
    </row>
    <row r="187" spans="3:3" s="5" customFormat="1" x14ac:dyDescent="0.2">
      <c r="C187" s="16"/>
    </row>
    <row r="188" spans="3:3" s="5" customFormat="1" x14ac:dyDescent="0.2">
      <c r="C188" s="16"/>
    </row>
    <row r="189" spans="3:3" s="5" customFormat="1" x14ac:dyDescent="0.2">
      <c r="C189" s="16"/>
    </row>
    <row r="190" spans="3:3" s="5" customFormat="1" x14ac:dyDescent="0.2">
      <c r="C190" s="16"/>
    </row>
    <row r="191" spans="3:3" s="5" customFormat="1" x14ac:dyDescent="0.2">
      <c r="C191" s="16"/>
    </row>
    <row r="192" spans="3:3" s="5" customFormat="1" x14ac:dyDescent="0.2">
      <c r="C192" s="16"/>
    </row>
    <row r="193" spans="3:3" s="5" customFormat="1" x14ac:dyDescent="0.2">
      <c r="C193" s="16"/>
    </row>
    <row r="194" spans="3:3" s="5" customFormat="1" x14ac:dyDescent="0.2">
      <c r="C194" s="16"/>
    </row>
    <row r="195" spans="3:3" s="5" customFormat="1" x14ac:dyDescent="0.2">
      <c r="C195" s="16"/>
    </row>
    <row r="196" spans="3:3" s="5" customFormat="1" x14ac:dyDescent="0.2">
      <c r="C196" s="16"/>
    </row>
    <row r="197" spans="3:3" s="5" customFormat="1" x14ac:dyDescent="0.2">
      <c r="C197" s="16"/>
    </row>
    <row r="198" spans="3:3" s="5" customFormat="1" x14ac:dyDescent="0.2">
      <c r="C198" s="16"/>
    </row>
    <row r="199" spans="3:3" s="5" customFormat="1" x14ac:dyDescent="0.2">
      <c r="C199" s="16"/>
    </row>
    <row r="200" spans="3:3" s="5" customFormat="1" x14ac:dyDescent="0.2">
      <c r="C200" s="16"/>
    </row>
    <row r="201" spans="3:3" s="5" customFormat="1" x14ac:dyDescent="0.2">
      <c r="C201" s="16"/>
    </row>
    <row r="202" spans="3:3" s="5" customFormat="1" x14ac:dyDescent="0.2">
      <c r="C202" s="16"/>
    </row>
    <row r="203" spans="3:3" s="5" customFormat="1" x14ac:dyDescent="0.2">
      <c r="C203" s="16"/>
    </row>
    <row r="204" spans="3:3" s="5" customFormat="1" x14ac:dyDescent="0.2">
      <c r="C204" s="16"/>
    </row>
    <row r="205" spans="3:3" s="5" customFormat="1" x14ac:dyDescent="0.2">
      <c r="C205" s="16"/>
    </row>
    <row r="206" spans="3:3" s="5" customFormat="1" x14ac:dyDescent="0.2">
      <c r="C206" s="16"/>
    </row>
    <row r="207" spans="3:3" s="5" customFormat="1" x14ac:dyDescent="0.2">
      <c r="C207" s="16"/>
    </row>
    <row r="208" spans="3:3" s="5" customFormat="1" x14ac:dyDescent="0.2">
      <c r="C208" s="16"/>
    </row>
    <row r="209" spans="3:3" s="5" customFormat="1" x14ac:dyDescent="0.2">
      <c r="C209" s="16"/>
    </row>
    <row r="210" spans="3:3" s="5" customFormat="1" x14ac:dyDescent="0.2">
      <c r="C210" s="16"/>
    </row>
    <row r="211" spans="3:3" s="5" customFormat="1" x14ac:dyDescent="0.2">
      <c r="C211" s="16"/>
    </row>
    <row r="212" spans="3:3" s="5" customFormat="1" x14ac:dyDescent="0.2">
      <c r="C212" s="16"/>
    </row>
    <row r="213" spans="3:3" s="5" customFormat="1" x14ac:dyDescent="0.2">
      <c r="C213" s="16"/>
    </row>
    <row r="214" spans="3:3" s="5" customFormat="1" x14ac:dyDescent="0.2">
      <c r="C214" s="16"/>
    </row>
    <row r="215" spans="3:3" s="5" customFormat="1" x14ac:dyDescent="0.2">
      <c r="C215" s="16"/>
    </row>
    <row r="216" spans="3:3" s="5" customFormat="1" x14ac:dyDescent="0.2">
      <c r="C216" s="16"/>
    </row>
    <row r="217" spans="3:3" s="5" customFormat="1" x14ac:dyDescent="0.2">
      <c r="C217" s="16"/>
    </row>
    <row r="218" spans="3:3" s="5" customFormat="1" x14ac:dyDescent="0.2">
      <c r="C218" s="16"/>
    </row>
    <row r="219" spans="3:3" s="5" customFormat="1" x14ac:dyDescent="0.2">
      <c r="C219" s="16"/>
    </row>
    <row r="220" spans="3:3" s="5" customFormat="1" x14ac:dyDescent="0.2">
      <c r="C220" s="16"/>
    </row>
    <row r="221" spans="3:3" s="5" customFormat="1" x14ac:dyDescent="0.2">
      <c r="C221" s="16"/>
    </row>
    <row r="222" spans="3:3" s="5" customFormat="1" x14ac:dyDescent="0.2">
      <c r="C222" s="16"/>
    </row>
    <row r="223" spans="3:3" s="5" customFormat="1" x14ac:dyDescent="0.2">
      <c r="C223" s="16"/>
    </row>
    <row r="224" spans="3:3" s="5" customFormat="1" x14ac:dyDescent="0.2">
      <c r="C224" s="16"/>
    </row>
    <row r="225" spans="3:3" s="5" customFormat="1" x14ac:dyDescent="0.2">
      <c r="C225" s="16"/>
    </row>
    <row r="226" spans="3:3" s="5" customFormat="1" x14ac:dyDescent="0.2">
      <c r="C226" s="16"/>
    </row>
    <row r="227" spans="3:3" s="5" customFormat="1" x14ac:dyDescent="0.2">
      <c r="C227" s="16"/>
    </row>
    <row r="228" spans="3:3" s="5" customFormat="1" x14ac:dyDescent="0.2">
      <c r="C228" s="16"/>
    </row>
    <row r="229" spans="3:3" s="5" customFormat="1" x14ac:dyDescent="0.2">
      <c r="C229" s="16"/>
    </row>
    <row r="230" spans="3:3" s="5" customFormat="1" x14ac:dyDescent="0.2">
      <c r="C230" s="16"/>
    </row>
    <row r="231" spans="3:3" s="5" customFormat="1" x14ac:dyDescent="0.2">
      <c r="C231" s="16"/>
    </row>
    <row r="232" spans="3:3" s="5" customFormat="1" x14ac:dyDescent="0.2">
      <c r="C232" s="16"/>
    </row>
    <row r="233" spans="3:3" s="5" customFormat="1" x14ac:dyDescent="0.2">
      <c r="C233" s="16"/>
    </row>
    <row r="234" spans="3:3" s="5" customFormat="1" x14ac:dyDescent="0.2">
      <c r="C234" s="16"/>
    </row>
    <row r="235" spans="3:3" s="5" customFormat="1" x14ac:dyDescent="0.2">
      <c r="C235" s="16"/>
    </row>
    <row r="236" spans="3:3" s="5" customFormat="1" x14ac:dyDescent="0.2">
      <c r="C236" s="16"/>
    </row>
    <row r="237" spans="3:3" s="5" customFormat="1" x14ac:dyDescent="0.2">
      <c r="C237" s="16"/>
    </row>
    <row r="238" spans="3:3" s="5" customFormat="1" x14ac:dyDescent="0.2">
      <c r="C238" s="16"/>
    </row>
    <row r="239" spans="3:3" s="5" customFormat="1" x14ac:dyDescent="0.2">
      <c r="C239" s="16"/>
    </row>
    <row r="240" spans="3:3" s="5" customFormat="1" x14ac:dyDescent="0.2">
      <c r="C240" s="16"/>
    </row>
    <row r="241" spans="3:3" s="5" customFormat="1" x14ac:dyDescent="0.2">
      <c r="C241" s="16"/>
    </row>
    <row r="242" spans="3:3" s="5" customFormat="1" x14ac:dyDescent="0.2">
      <c r="C242" s="16"/>
    </row>
    <row r="243" spans="3:3" s="5" customFormat="1" x14ac:dyDescent="0.2">
      <c r="C243" s="16"/>
    </row>
    <row r="244" spans="3:3" s="5" customFormat="1" x14ac:dyDescent="0.2">
      <c r="C244" s="16"/>
    </row>
    <row r="245" spans="3:3" s="5" customFormat="1" x14ac:dyDescent="0.2">
      <c r="C245" s="16"/>
    </row>
    <row r="246" spans="3:3" s="5" customFormat="1" x14ac:dyDescent="0.2">
      <c r="C246" s="16"/>
    </row>
    <row r="247" spans="3:3" s="5" customFormat="1" x14ac:dyDescent="0.2">
      <c r="C247" s="16"/>
    </row>
    <row r="248" spans="3:3" s="5" customFormat="1" x14ac:dyDescent="0.2">
      <c r="C248" s="16"/>
    </row>
    <row r="249" spans="3:3" s="5" customFormat="1" x14ac:dyDescent="0.2">
      <c r="C249" s="16"/>
    </row>
    <row r="250" spans="3:3" s="5" customFormat="1" x14ac:dyDescent="0.2">
      <c r="C250" s="16"/>
    </row>
    <row r="251" spans="3:3" s="5" customFormat="1" x14ac:dyDescent="0.2">
      <c r="C251" s="16"/>
    </row>
    <row r="252" spans="3:3" s="5" customFormat="1" x14ac:dyDescent="0.2">
      <c r="C252" s="16"/>
    </row>
    <row r="253" spans="3:3" s="5" customFormat="1" x14ac:dyDescent="0.2">
      <c r="C253" s="16"/>
    </row>
    <row r="254" spans="3:3" s="5" customFormat="1" x14ac:dyDescent="0.2">
      <c r="C254" s="16"/>
    </row>
    <row r="255" spans="3:3" s="5" customFormat="1" x14ac:dyDescent="0.2">
      <c r="C255" s="16"/>
    </row>
    <row r="256" spans="3:3" s="5" customFormat="1" x14ac:dyDescent="0.2">
      <c r="C256" s="16"/>
    </row>
    <row r="257" spans="3:3" s="5" customFormat="1" x14ac:dyDescent="0.2">
      <c r="C257" s="16"/>
    </row>
    <row r="258" spans="3:3" s="5" customFormat="1" x14ac:dyDescent="0.2">
      <c r="C258" s="16"/>
    </row>
    <row r="259" spans="3:3" s="5" customFormat="1" x14ac:dyDescent="0.2">
      <c r="C259" s="16"/>
    </row>
    <row r="260" spans="3:3" s="5" customFormat="1" x14ac:dyDescent="0.2">
      <c r="C260" s="16"/>
    </row>
    <row r="261" spans="3:3" s="5" customFormat="1" x14ac:dyDescent="0.2">
      <c r="C261" s="16"/>
    </row>
    <row r="262" spans="3:3" s="5" customFormat="1" x14ac:dyDescent="0.2">
      <c r="C262" s="16"/>
    </row>
    <row r="263" spans="3:3" s="5" customFormat="1" x14ac:dyDescent="0.2">
      <c r="C263" s="16"/>
    </row>
    <row r="264" spans="3:3" s="5" customFormat="1" x14ac:dyDescent="0.2">
      <c r="C264" s="16"/>
    </row>
    <row r="265" spans="3:3" s="5" customFormat="1" x14ac:dyDescent="0.2">
      <c r="C265" s="16"/>
    </row>
    <row r="266" spans="3:3" s="5" customFormat="1" x14ac:dyDescent="0.2">
      <c r="C266" s="16"/>
    </row>
    <row r="267" spans="3:3" s="5" customFormat="1" x14ac:dyDescent="0.2">
      <c r="C267" s="16"/>
    </row>
    <row r="268" spans="3:3" s="5" customFormat="1" x14ac:dyDescent="0.2">
      <c r="C268" s="16"/>
    </row>
    <row r="269" spans="3:3" s="5" customFormat="1" x14ac:dyDescent="0.2">
      <c r="C269" s="16"/>
    </row>
    <row r="270" spans="3:3" s="5" customFormat="1" x14ac:dyDescent="0.2">
      <c r="C270" s="16"/>
    </row>
    <row r="271" spans="3:3" s="5" customFormat="1" x14ac:dyDescent="0.2">
      <c r="C271" s="16"/>
    </row>
    <row r="272" spans="3:3" s="5" customFormat="1" x14ac:dyDescent="0.2">
      <c r="C272" s="16"/>
    </row>
    <row r="273" spans="3:3" s="5" customFormat="1" x14ac:dyDescent="0.2">
      <c r="C273" s="16"/>
    </row>
    <row r="274" spans="3:3" s="5" customFormat="1" x14ac:dyDescent="0.2">
      <c r="C274" s="16"/>
    </row>
    <row r="275" spans="3:3" s="5" customFormat="1" x14ac:dyDescent="0.2">
      <c r="C275" s="16"/>
    </row>
    <row r="276" spans="3:3" s="5" customFormat="1" x14ac:dyDescent="0.2">
      <c r="C276" s="16"/>
    </row>
    <row r="277" spans="3:3" s="5" customFormat="1" x14ac:dyDescent="0.2">
      <c r="C277" s="16"/>
    </row>
    <row r="278" spans="3:3" s="5" customFormat="1" x14ac:dyDescent="0.2">
      <c r="C278" s="16"/>
    </row>
    <row r="279" spans="3:3" s="5" customFormat="1" x14ac:dyDescent="0.2">
      <c r="C279" s="16"/>
    </row>
    <row r="280" spans="3:3" s="5" customFormat="1" x14ac:dyDescent="0.2">
      <c r="C280" s="16"/>
    </row>
    <row r="281" spans="3:3" s="5" customFormat="1" x14ac:dyDescent="0.2">
      <c r="C281" s="16"/>
    </row>
    <row r="282" spans="3:3" s="5" customFormat="1" x14ac:dyDescent="0.2">
      <c r="C282" s="16"/>
    </row>
    <row r="283" spans="3:3" s="5" customFormat="1" x14ac:dyDescent="0.2">
      <c r="C283" s="16"/>
    </row>
    <row r="284" spans="3:3" s="5" customFormat="1" x14ac:dyDescent="0.2">
      <c r="C284" s="16"/>
    </row>
    <row r="285" spans="3:3" s="5" customFormat="1" x14ac:dyDescent="0.2">
      <c r="C285" s="16"/>
    </row>
    <row r="286" spans="3:3" s="5" customFormat="1" x14ac:dyDescent="0.2">
      <c r="C286" s="16"/>
    </row>
    <row r="287" spans="3:3" s="5" customFormat="1" x14ac:dyDescent="0.2">
      <c r="C287" s="16"/>
    </row>
    <row r="288" spans="3:3" s="5" customFormat="1" x14ac:dyDescent="0.2">
      <c r="C288" s="16"/>
    </row>
    <row r="289" spans="3:3" s="5" customFormat="1" x14ac:dyDescent="0.2">
      <c r="C289" s="16"/>
    </row>
    <row r="290" spans="3:3" s="5" customFormat="1" x14ac:dyDescent="0.2">
      <c r="C290" s="16"/>
    </row>
    <row r="291" spans="3:3" s="5" customFormat="1" x14ac:dyDescent="0.2">
      <c r="C291" s="16"/>
    </row>
    <row r="292" spans="3:3" s="5" customFormat="1" x14ac:dyDescent="0.2">
      <c r="C292" s="16"/>
    </row>
    <row r="293" spans="3:3" s="5" customFormat="1" x14ac:dyDescent="0.2">
      <c r="C293" s="16"/>
    </row>
    <row r="294" spans="3:3" s="5" customFormat="1" x14ac:dyDescent="0.2">
      <c r="C294" s="16"/>
    </row>
    <row r="295" spans="3:3" s="5" customFormat="1" x14ac:dyDescent="0.2">
      <c r="C295" s="16"/>
    </row>
    <row r="296" spans="3:3" s="5" customFormat="1" x14ac:dyDescent="0.2">
      <c r="C296" s="16"/>
    </row>
    <row r="297" spans="3:3" s="5" customFormat="1" x14ac:dyDescent="0.2">
      <c r="C297" s="16"/>
    </row>
    <row r="298" spans="3:3" s="5" customFormat="1" x14ac:dyDescent="0.2">
      <c r="C298" s="16"/>
    </row>
    <row r="299" spans="3:3" s="5" customFormat="1" x14ac:dyDescent="0.2">
      <c r="C299" s="16"/>
    </row>
    <row r="300" spans="3:3" s="5" customFormat="1" x14ac:dyDescent="0.2">
      <c r="C300" s="16"/>
    </row>
    <row r="301" spans="3:3" s="5" customFormat="1" x14ac:dyDescent="0.2">
      <c r="C301" s="16"/>
    </row>
    <row r="302" spans="3:3" s="5" customFormat="1" x14ac:dyDescent="0.2">
      <c r="C302" s="16"/>
    </row>
    <row r="303" spans="3:3" s="5" customFormat="1" x14ac:dyDescent="0.2">
      <c r="C303" s="16"/>
    </row>
    <row r="304" spans="3:3" s="5" customFormat="1" x14ac:dyDescent="0.2">
      <c r="C304" s="16"/>
    </row>
    <row r="305" spans="3:3" s="5" customFormat="1" x14ac:dyDescent="0.2">
      <c r="C305" s="16"/>
    </row>
    <row r="306" spans="3:3" s="5" customFormat="1" x14ac:dyDescent="0.2">
      <c r="C306" s="16"/>
    </row>
    <row r="307" spans="3:3" s="5" customFormat="1" x14ac:dyDescent="0.2">
      <c r="C307" s="16"/>
    </row>
    <row r="308" spans="3:3" s="5" customFormat="1" x14ac:dyDescent="0.2">
      <c r="C308" s="16"/>
    </row>
    <row r="309" spans="3:3" s="5" customFormat="1" x14ac:dyDescent="0.2">
      <c r="C309" s="16"/>
    </row>
    <row r="310" spans="3:3" s="5" customFormat="1" x14ac:dyDescent="0.2">
      <c r="C310" s="16"/>
    </row>
    <row r="311" spans="3:3" s="5" customFormat="1" x14ac:dyDescent="0.2">
      <c r="C311" s="16"/>
    </row>
    <row r="312" spans="3:3" s="5" customFormat="1" x14ac:dyDescent="0.2">
      <c r="C312" s="16"/>
    </row>
    <row r="313" spans="3:3" s="5" customFormat="1" x14ac:dyDescent="0.2">
      <c r="C313" s="16"/>
    </row>
    <row r="314" spans="3:3" s="5" customFormat="1" x14ac:dyDescent="0.2">
      <c r="C314" s="16"/>
    </row>
    <row r="315" spans="3:3" s="5" customFormat="1" x14ac:dyDescent="0.2">
      <c r="C315" s="16"/>
    </row>
    <row r="316" spans="3:3" s="5" customFormat="1" x14ac:dyDescent="0.2">
      <c r="C316" s="16"/>
    </row>
    <row r="317" spans="3:3" s="5" customFormat="1" x14ac:dyDescent="0.2">
      <c r="C317" s="16"/>
    </row>
    <row r="318" spans="3:3" s="5" customFormat="1" x14ac:dyDescent="0.2">
      <c r="C318" s="16"/>
    </row>
    <row r="319" spans="3:3" s="5" customFormat="1" x14ac:dyDescent="0.2">
      <c r="C319" s="16"/>
    </row>
    <row r="320" spans="3:3" s="5" customFormat="1" x14ac:dyDescent="0.2">
      <c r="C320" s="16"/>
    </row>
    <row r="321" spans="3:3" s="5" customFormat="1" x14ac:dyDescent="0.2">
      <c r="C321" s="16"/>
    </row>
    <row r="322" spans="3:3" s="5" customFormat="1" x14ac:dyDescent="0.2">
      <c r="C322" s="16"/>
    </row>
    <row r="323" spans="3:3" s="5" customFormat="1" x14ac:dyDescent="0.2">
      <c r="C323" s="16"/>
    </row>
    <row r="324" spans="3:3" s="5" customFormat="1" x14ac:dyDescent="0.2">
      <c r="C324" s="16"/>
    </row>
    <row r="325" spans="3:3" s="5" customFormat="1" x14ac:dyDescent="0.2">
      <c r="C325" s="16"/>
    </row>
    <row r="326" spans="3:3" s="5" customFormat="1" x14ac:dyDescent="0.2">
      <c r="C326" s="16"/>
    </row>
    <row r="327" spans="3:3" s="5" customFormat="1" x14ac:dyDescent="0.2">
      <c r="C327" s="16"/>
    </row>
    <row r="328" spans="3:3" s="5" customFormat="1" x14ac:dyDescent="0.2">
      <c r="C328" s="16"/>
    </row>
    <row r="329" spans="3:3" s="5" customFormat="1" x14ac:dyDescent="0.2">
      <c r="C329" s="16"/>
    </row>
    <row r="330" spans="3:3" s="5" customFormat="1" x14ac:dyDescent="0.2">
      <c r="C330" s="16"/>
    </row>
    <row r="331" spans="3:3" s="5" customFormat="1" x14ac:dyDescent="0.2">
      <c r="C331" s="16"/>
    </row>
    <row r="332" spans="3:3" s="5" customFormat="1" x14ac:dyDescent="0.2">
      <c r="C332" s="16"/>
    </row>
    <row r="333" spans="3:3" s="5" customFormat="1" x14ac:dyDescent="0.2">
      <c r="C333" s="16"/>
    </row>
    <row r="334" spans="3:3" s="5" customFormat="1" x14ac:dyDescent="0.2">
      <c r="C334" s="16"/>
    </row>
    <row r="335" spans="3:3" s="5" customFormat="1" x14ac:dyDescent="0.2">
      <c r="C335" s="16"/>
    </row>
    <row r="336" spans="3:3" s="5" customFormat="1" x14ac:dyDescent="0.2">
      <c r="C336" s="16"/>
    </row>
    <row r="337" spans="3:3" s="5" customFormat="1" x14ac:dyDescent="0.2">
      <c r="C337" s="16"/>
    </row>
    <row r="338" spans="3:3" s="5" customFormat="1" x14ac:dyDescent="0.2">
      <c r="C338" s="16"/>
    </row>
    <row r="339" spans="3:3" s="5" customFormat="1" x14ac:dyDescent="0.2">
      <c r="C339" s="16"/>
    </row>
    <row r="340" spans="3:3" s="5" customFormat="1" x14ac:dyDescent="0.2">
      <c r="C340" s="16"/>
    </row>
    <row r="341" spans="3:3" s="5" customFormat="1" x14ac:dyDescent="0.2">
      <c r="C341" s="16"/>
    </row>
    <row r="342" spans="3:3" s="5" customFormat="1" x14ac:dyDescent="0.2">
      <c r="C342" s="16"/>
    </row>
    <row r="343" spans="3:3" s="5" customFormat="1" x14ac:dyDescent="0.2">
      <c r="C343" s="16"/>
    </row>
    <row r="344" spans="3:3" s="5" customFormat="1" x14ac:dyDescent="0.2">
      <c r="C344" s="16"/>
    </row>
    <row r="345" spans="3:3" s="5" customFormat="1" x14ac:dyDescent="0.2">
      <c r="C345" s="16"/>
    </row>
    <row r="346" spans="3:3" s="5" customFormat="1" x14ac:dyDescent="0.2">
      <c r="C346" s="16"/>
    </row>
    <row r="347" spans="3:3" s="5" customFormat="1" x14ac:dyDescent="0.2">
      <c r="C347" s="16"/>
    </row>
    <row r="348" spans="3:3" s="5" customFormat="1" x14ac:dyDescent="0.2">
      <c r="C348" s="16"/>
    </row>
    <row r="349" spans="3:3" s="5" customFormat="1" x14ac:dyDescent="0.2">
      <c r="C349" s="16"/>
    </row>
    <row r="350" spans="3:3" s="5" customFormat="1" x14ac:dyDescent="0.2">
      <c r="C350" s="16"/>
    </row>
    <row r="351" spans="3:3" s="5" customFormat="1" x14ac:dyDescent="0.2">
      <c r="C351" s="16"/>
    </row>
    <row r="352" spans="3:3" s="5" customFormat="1" x14ac:dyDescent="0.2">
      <c r="C352" s="16"/>
    </row>
    <row r="353" spans="3:3" s="5" customFormat="1" x14ac:dyDescent="0.2">
      <c r="C353" s="16"/>
    </row>
    <row r="354" spans="3:3" s="5" customFormat="1" x14ac:dyDescent="0.2">
      <c r="C354" s="16"/>
    </row>
    <row r="355" spans="3:3" s="5" customFormat="1" x14ac:dyDescent="0.2">
      <c r="C355" s="16"/>
    </row>
    <row r="356" spans="3:3" s="5" customFormat="1" x14ac:dyDescent="0.2">
      <c r="C356" s="16"/>
    </row>
    <row r="357" spans="3:3" s="5" customFormat="1" x14ac:dyDescent="0.2">
      <c r="C357" s="16"/>
    </row>
    <row r="358" spans="3:3" s="5" customFormat="1" x14ac:dyDescent="0.2">
      <c r="C358" s="16"/>
    </row>
    <row r="359" spans="3:3" s="5" customFormat="1" x14ac:dyDescent="0.2">
      <c r="C359" s="16"/>
    </row>
    <row r="360" spans="3:3" s="5" customFormat="1" x14ac:dyDescent="0.2">
      <c r="C360" s="16"/>
    </row>
    <row r="361" spans="3:3" s="5" customFormat="1" x14ac:dyDescent="0.2">
      <c r="C361" s="16"/>
    </row>
    <row r="362" spans="3:3" s="5" customFormat="1" x14ac:dyDescent="0.2">
      <c r="C362" s="16"/>
    </row>
    <row r="363" spans="3:3" s="5" customFormat="1" x14ac:dyDescent="0.2">
      <c r="C363" s="16"/>
    </row>
    <row r="364" spans="3:3" s="5" customFormat="1" x14ac:dyDescent="0.2">
      <c r="C364" s="16"/>
    </row>
    <row r="365" spans="3:3" s="5" customFormat="1" x14ac:dyDescent="0.2">
      <c r="C365" s="16"/>
    </row>
    <row r="366" spans="3:3" s="5" customFormat="1" x14ac:dyDescent="0.2">
      <c r="C366" s="16"/>
    </row>
    <row r="367" spans="3:3" s="5" customFormat="1" x14ac:dyDescent="0.2">
      <c r="C367" s="16"/>
    </row>
    <row r="368" spans="3:3" s="5" customFormat="1" x14ac:dyDescent="0.2">
      <c r="C368" s="16"/>
    </row>
    <row r="369" spans="3:3" s="5" customFormat="1" x14ac:dyDescent="0.2">
      <c r="C369" s="16"/>
    </row>
    <row r="370" spans="3:3" s="5" customFormat="1" x14ac:dyDescent="0.2">
      <c r="C370" s="16"/>
    </row>
    <row r="371" spans="3:3" s="5" customFormat="1" x14ac:dyDescent="0.2">
      <c r="C371" s="16"/>
    </row>
    <row r="372" spans="3:3" s="5" customFormat="1" x14ac:dyDescent="0.2">
      <c r="C372" s="16"/>
    </row>
    <row r="373" spans="3:3" s="5" customFormat="1" x14ac:dyDescent="0.2">
      <c r="C373" s="16"/>
    </row>
  </sheetData>
  <customSheetViews>
    <customSheetView guid="{6AD6E9A0-EB1A-4C94-8728-519E134E4922}" showPageBreaks="1" showGridLines="0" hiddenRows="1" hiddenColumns="1">
      <selection activeCell="J53" sqref="J53"/>
      <rowBreaks count="1" manualBreakCount="1">
        <brk id="52" max="16383" man="1"/>
      </rowBreaks>
      <pageMargins left="0.78740157480314965" right="0.39370078740157483" top="0.78740157480314965" bottom="0.19685039370078741" header="0.51181102362204722" footer="0.51181102362204722"/>
      <pageSetup paperSize="9" scale="80" orientation="landscape" verticalDpi="300" r:id="rId1"/>
      <headerFooter alignWithMargins="0">
        <oddFooter xml:space="preserve">&amp;C&amp;9&amp;P&amp;R
</oddFooter>
      </headerFooter>
    </customSheetView>
    <customSheetView guid="{E54571B5-A941-4884-9FDB-8D7DB79F30FD}" showGridLines="0" hiddenRows="1" hiddenColumns="1" topLeftCell="B1">
      <selection activeCell="E17" sqref="E17"/>
      <rowBreaks count="1" manualBreakCount="1">
        <brk id="52" max="16383" man="1"/>
      </rowBreaks>
      <pageMargins left="0.78740157480314965" right="0.39370078740157483" top="0.78740157480314965" bottom="0.19685039370078741" header="0.51181102362204722" footer="0.51181102362204722"/>
      <pageSetup paperSize="9" scale="80" orientation="landscape" verticalDpi="300" r:id="rId2"/>
      <headerFooter alignWithMargins="0">
        <oddFooter xml:space="preserve">&amp;C&amp;9&amp;P&amp;R
</oddFooter>
      </headerFooter>
    </customSheetView>
  </customSheetViews>
  <conditionalFormatting sqref="D17:AC57">
    <cfRule type="cellIs" dxfId="5" priority="5" operator="equal">
      <formula>"-"</formula>
    </cfRule>
    <cfRule type="cellIs" dxfId="4" priority="6" operator="equal">
      <formula>0</formula>
    </cfRule>
  </conditionalFormatting>
  <conditionalFormatting sqref="D70:AC89">
    <cfRule type="cellIs" dxfId="3" priority="3" operator="equal">
      <formula>"-"</formula>
    </cfRule>
    <cfRule type="cellIs" dxfId="2" priority="4" operator="equal">
      <formula>0</formula>
    </cfRule>
  </conditionalFormatting>
  <conditionalFormatting sqref="D95:AC96">
    <cfRule type="cellIs" dxfId="1" priority="1" operator="equal">
      <formula>"-"</formula>
    </cfRule>
    <cfRule type="cellIs" dxfId="0" priority="2" operator="equal">
      <formula>0</formula>
    </cfRule>
  </conditionalFormatting>
  <dataValidations disablePrompts="1" count="1">
    <dataValidation type="list" allowBlank="1" showInputMessage="1" sqref="C32:C45 G12 D12:E12" xr:uid="{66ADC6B8-64D6-4B8B-BE11-91FDC875354B}">
      <formula1>"..."</formula1>
    </dataValidation>
  </dataValidations>
  <printOptions gridLinesSet="0"/>
  <pageMargins left="0.78740157480314965" right="0.39370078740157483" top="0.78740157480314965" bottom="0.19685039370078741" header="0.51181102362204722" footer="0.51181102362204722"/>
  <pageSetup paperSize="9" scale="80" orientation="landscape" verticalDpi="300" r:id="rId3"/>
  <headerFooter alignWithMargins="0">
    <oddFooter xml:space="preserve">&amp;C&amp;9&amp;P&amp;R
</oddFooter>
  </headerFooter>
  <rowBreaks count="1" manualBreakCount="1">
    <brk id="66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Werknemers - Salariés</vt:lpstr>
      <vt:lpstr>'Werknemers - Salariés'!Print_Titles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Julie Vinck</cp:lastModifiedBy>
  <cp:lastPrinted>2021-04-20T13:29:18Z</cp:lastPrinted>
  <dcterms:created xsi:type="dcterms:W3CDTF">2000-09-28T09:33:19Z</dcterms:created>
  <dcterms:modified xsi:type="dcterms:W3CDTF">2026-07-30T19:33:56Z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HIDDEN_GRID_QUERY_LIST_4F35BF76-6C0D-4D9B-82B2-816C12CF3733">
    <vt:lpwstr>empty_477D106A-C0D6-4607-AEBD-E2C9D60EA279</vt:lpwstr>
  </property>
  <property fmtid="{D5CDD505-2E9C-101B-9397-08002B2CF9AE}" pid="3" name="SV_QUERY_LIST_4F35BF76-6C0D-4D9B-82B2-816C12CF3733">
    <vt:lpwstr>empty_477D106A-C0D6-4607-AEBD-E2C9D60EA279</vt:lpwstr>
  </property>
</Properties>
</file>