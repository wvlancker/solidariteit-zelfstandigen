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leuven-my.sharepoint.com/personal/julie_vinck_kuleuven_be/Documents/Gedeeld/UNIZO/Macro niveau/"/>
    </mc:Choice>
  </mc:AlternateContent>
  <xr:revisionPtr revIDLastSave="2561" documentId="8_{FE23DF7D-0EEB-4B6A-B8EB-5FFD186DC22F}" xr6:coauthVersionLast="47" xr6:coauthVersionMax="47" xr10:uidLastSave="{852CF047-6B01-47FC-BACB-67A915832234}"/>
  <bookViews>
    <workbookView xWindow="-108" yWindow="-108" windowWidth="23256" windowHeight="12456" tabRatio="445" activeTab="2" xr2:uid="{CBC262FB-4427-496A-9581-C2EA0CE7BCBF}"/>
  </bookViews>
  <sheets>
    <sheet name="Sheet1" sheetId="1" r:id="rId1"/>
    <sheet name="Julie BS - Cijfers" sheetId="4" r:id="rId2"/>
    <sheet name="Julie NS - cijfers" sheetId="5" r:id="rId3"/>
    <sheet name="Julie - Figuren" sheetId="2" r:id="rId4"/>
    <sheet name="Julie BS - gezondheidsindex" sheetId="8" r:id="rId5"/>
    <sheet name="Bijdragen WN's &amp; WG's opgesplit" sheetId="6" r:id="rId6"/>
    <sheet name="Oplijsting (sub)categorieën KSZ" sheetId="7" r:id="rId7"/>
  </sheets>
  <externalReferences>
    <externalReference r:id="rId8"/>
    <externalReference r:id="rId9"/>
    <externalReference r:id="rId10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9" i="5" l="1"/>
  <c r="AM28" i="5"/>
  <c r="AM27" i="5"/>
  <c r="AM26" i="5"/>
  <c r="AM25" i="5"/>
  <c r="AM21" i="5"/>
  <c r="AM20" i="5"/>
  <c r="AM19" i="5"/>
  <c r="AM18" i="5"/>
  <c r="AM17" i="5"/>
  <c r="AM15" i="5"/>
  <c r="AM14" i="5"/>
  <c r="AM13" i="5"/>
  <c r="AM12" i="5"/>
  <c r="AM11" i="5"/>
  <c r="AM5" i="5"/>
  <c r="AM6" i="5"/>
  <c r="AM7" i="5"/>
  <c r="AM4" i="5"/>
  <c r="AM3" i="5"/>
  <c r="AK3" i="5"/>
  <c r="B3" i="8"/>
  <c r="V93" i="8"/>
  <c r="U93" i="8"/>
  <c r="T93" i="8"/>
  <c r="S93" i="8"/>
  <c r="R93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C93" i="8"/>
  <c r="B93" i="8"/>
  <c r="V92" i="8"/>
  <c r="U92" i="8"/>
  <c r="T92" i="8"/>
  <c r="S92" i="8"/>
  <c r="R92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D92" i="8"/>
  <c r="C92" i="8"/>
  <c r="B92" i="8"/>
  <c r="P91" i="8"/>
  <c r="E90" i="8"/>
  <c r="V87" i="8"/>
  <c r="U87" i="8"/>
  <c r="T87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B87" i="8"/>
  <c r="K85" i="8"/>
  <c r="L85" i="8" s="1"/>
  <c r="M85" i="8" s="1"/>
  <c r="N85" i="8" s="1"/>
  <c r="O85" i="8" s="1"/>
  <c r="P85" i="8" s="1"/>
  <c r="Q85" i="8" s="1"/>
  <c r="R85" i="8" s="1"/>
  <c r="S85" i="8" s="1"/>
  <c r="T85" i="8" s="1"/>
  <c r="U85" i="8" s="1"/>
  <c r="V85" i="8" s="1"/>
  <c r="G85" i="8"/>
  <c r="H85" i="8" s="1"/>
  <c r="I85" i="8" s="1"/>
  <c r="J85" i="8" s="1"/>
  <c r="D85" i="8"/>
  <c r="E85" i="8" s="1"/>
  <c r="F85" i="8" s="1"/>
  <c r="C85" i="8"/>
  <c r="M62" i="8"/>
  <c r="V34" i="8"/>
  <c r="U34" i="8"/>
  <c r="T34" i="8"/>
  <c r="S34" i="8"/>
  <c r="S91" i="8" s="1"/>
  <c r="R34" i="8"/>
  <c r="R91" i="8" s="1"/>
  <c r="Q34" i="8"/>
  <c r="P34" i="8"/>
  <c r="O34" i="8"/>
  <c r="N34" i="8"/>
  <c r="M34" i="8"/>
  <c r="L34" i="8"/>
  <c r="K34" i="8"/>
  <c r="K91" i="8" s="1"/>
  <c r="J34" i="8"/>
  <c r="J91" i="8" s="1"/>
  <c r="I34" i="8"/>
  <c r="H34" i="8"/>
  <c r="H91" i="8" s="1"/>
  <c r="G34" i="8"/>
  <c r="G91" i="8" s="1"/>
  <c r="F34" i="8"/>
  <c r="E34" i="8"/>
  <c r="D34" i="8"/>
  <c r="C34" i="8"/>
  <c r="B34" i="8"/>
  <c r="B91" i="8" s="1"/>
  <c r="V33" i="8"/>
  <c r="V90" i="8" s="1"/>
  <c r="U33" i="8"/>
  <c r="U90" i="8" s="1"/>
  <c r="T33" i="8"/>
  <c r="S33" i="8"/>
  <c r="R33" i="8"/>
  <c r="R90" i="8" s="1"/>
  <c r="Q33" i="8"/>
  <c r="P33" i="8"/>
  <c r="O33" i="8"/>
  <c r="O90" i="8" s="1"/>
  <c r="N33" i="8"/>
  <c r="N90" i="8" s="1"/>
  <c r="M33" i="8"/>
  <c r="M90" i="8" s="1"/>
  <c r="L33" i="8"/>
  <c r="K33" i="8"/>
  <c r="K90" i="8" s="1"/>
  <c r="J33" i="8"/>
  <c r="J90" i="8" s="1"/>
  <c r="I33" i="8"/>
  <c r="H33" i="8"/>
  <c r="G33" i="8"/>
  <c r="G90" i="8" s="1"/>
  <c r="F33" i="8"/>
  <c r="F90" i="8" s="1"/>
  <c r="E33" i="8"/>
  <c r="D33" i="8"/>
  <c r="C33" i="8"/>
  <c r="C90" i="8" s="1"/>
  <c r="C101" i="8" s="1"/>
  <c r="B33" i="8"/>
  <c r="B90" i="8" s="1"/>
  <c r="V7" i="8"/>
  <c r="U7" i="8"/>
  <c r="T7" i="8"/>
  <c r="S7" i="8"/>
  <c r="R7" i="8"/>
  <c r="R62" i="8" s="1"/>
  <c r="Q7" i="8"/>
  <c r="Q62" i="8" s="1"/>
  <c r="P7" i="8"/>
  <c r="O7" i="8"/>
  <c r="O62" i="8" s="1"/>
  <c r="N7" i="8"/>
  <c r="M7" i="8"/>
  <c r="L7" i="8"/>
  <c r="K7" i="8"/>
  <c r="J7" i="8"/>
  <c r="J62" i="8" s="1"/>
  <c r="I7" i="8"/>
  <c r="I62" i="8" s="1"/>
  <c r="H7" i="8"/>
  <c r="G7" i="8"/>
  <c r="G62" i="8" s="1"/>
  <c r="F7" i="8"/>
  <c r="E7" i="8"/>
  <c r="E62" i="8" s="1"/>
  <c r="D7" i="8"/>
  <c r="C7" i="8"/>
  <c r="B7" i="8"/>
  <c r="B62" i="8" s="1"/>
  <c r="V6" i="8"/>
  <c r="V61" i="8" s="1"/>
  <c r="U6" i="8"/>
  <c r="U61" i="8" s="1"/>
  <c r="T6" i="8"/>
  <c r="T61" i="8" s="1"/>
  <c r="S6" i="8"/>
  <c r="R6" i="8"/>
  <c r="R61" i="8" s="1"/>
  <c r="Q6" i="8"/>
  <c r="Q61" i="8" s="1"/>
  <c r="P6" i="8"/>
  <c r="P61" i="8" s="1"/>
  <c r="O6" i="8"/>
  <c r="O61" i="8" s="1"/>
  <c r="N6" i="8"/>
  <c r="N61" i="8" s="1"/>
  <c r="M6" i="8"/>
  <c r="L6" i="8"/>
  <c r="K6" i="8"/>
  <c r="J6" i="8"/>
  <c r="J61" i="8" s="1"/>
  <c r="I6" i="8"/>
  <c r="I61" i="8" s="1"/>
  <c r="H6" i="8"/>
  <c r="H61" i="8" s="1"/>
  <c r="G6" i="8"/>
  <c r="G61" i="8" s="1"/>
  <c r="F6" i="8"/>
  <c r="F61" i="8" s="1"/>
  <c r="E6" i="8"/>
  <c r="D6" i="8"/>
  <c r="C6" i="8"/>
  <c r="B6" i="8"/>
  <c r="B61" i="8" s="1"/>
  <c r="W3" i="8"/>
  <c r="Q4" i="8" s="1"/>
  <c r="Q11" i="8" s="1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I4" i="8" l="1"/>
  <c r="P4" i="8"/>
  <c r="H4" i="8"/>
  <c r="W4" i="8"/>
  <c r="O4" i="8"/>
  <c r="O96" i="8" s="1"/>
  <c r="G4" i="8"/>
  <c r="J4" i="8"/>
  <c r="V4" i="8"/>
  <c r="V95" i="8" s="1"/>
  <c r="N4" i="8"/>
  <c r="F4" i="8"/>
  <c r="F96" i="8" s="1"/>
  <c r="U4" i="8"/>
  <c r="M4" i="8"/>
  <c r="M95" i="8" s="1"/>
  <c r="E4" i="8"/>
  <c r="R4" i="8"/>
  <c r="T4" i="8"/>
  <c r="L4" i="8"/>
  <c r="L95" i="8" s="1"/>
  <c r="D4" i="8"/>
  <c r="S4" i="8"/>
  <c r="S95" i="8" s="1"/>
  <c r="K4" i="8"/>
  <c r="C4" i="8"/>
  <c r="C95" i="8" s="1"/>
  <c r="B4" i="8"/>
  <c r="B96" i="8" s="1"/>
  <c r="I81" i="8"/>
  <c r="I83" i="8" s="1"/>
  <c r="I95" i="8"/>
  <c r="I12" i="8"/>
  <c r="I38" i="8"/>
  <c r="I65" i="8"/>
  <c r="I39" i="8"/>
  <c r="Q81" i="8"/>
  <c r="Q83" i="8" s="1"/>
  <c r="Q65" i="8"/>
  <c r="Q95" i="8"/>
  <c r="Q39" i="8"/>
  <c r="Q12" i="8"/>
  <c r="Q38" i="8"/>
  <c r="C61" i="8"/>
  <c r="C69" i="8" s="1"/>
  <c r="C17" i="8"/>
  <c r="K61" i="8"/>
  <c r="S61" i="8"/>
  <c r="F62" i="8"/>
  <c r="N62" i="8"/>
  <c r="V62" i="8"/>
  <c r="D17" i="8"/>
  <c r="E17" i="8" s="1"/>
  <c r="F17" i="8" s="1"/>
  <c r="G17" i="8" s="1"/>
  <c r="H17" i="8" s="1"/>
  <c r="I17" i="8" s="1"/>
  <c r="J17" i="8" s="1"/>
  <c r="K17" i="8" s="1"/>
  <c r="L17" i="8" s="1"/>
  <c r="M17" i="8" s="1"/>
  <c r="N17" i="8" s="1"/>
  <c r="O17" i="8" s="1"/>
  <c r="P17" i="8" s="1"/>
  <c r="Q17" i="8" s="1"/>
  <c r="R17" i="8" s="1"/>
  <c r="S17" i="8" s="1"/>
  <c r="T17" i="8" s="1"/>
  <c r="U17" i="8" s="1"/>
  <c r="V17" i="8" s="1"/>
  <c r="I11" i="8"/>
  <c r="Q23" i="8"/>
  <c r="Q14" i="8"/>
  <c r="H62" i="8"/>
  <c r="P62" i="8"/>
  <c r="Q90" i="8"/>
  <c r="D91" i="8"/>
  <c r="L91" i="8"/>
  <c r="T91" i="8"/>
  <c r="D61" i="8"/>
  <c r="E61" i="8"/>
  <c r="I90" i="8"/>
  <c r="G95" i="8"/>
  <c r="O95" i="8"/>
  <c r="J96" i="8"/>
  <c r="R96" i="8"/>
  <c r="C91" i="8"/>
  <c r="C108" i="8" s="1"/>
  <c r="C53" i="8"/>
  <c r="D53" i="8" s="1"/>
  <c r="E53" i="8" s="1"/>
  <c r="F53" i="8" s="1"/>
  <c r="G53" i="8" s="1"/>
  <c r="H53" i="8" s="1"/>
  <c r="I53" i="8" s="1"/>
  <c r="J53" i="8" s="1"/>
  <c r="K53" i="8" s="1"/>
  <c r="L53" i="8" s="1"/>
  <c r="M53" i="8" s="1"/>
  <c r="N53" i="8" s="1"/>
  <c r="O53" i="8" s="1"/>
  <c r="P53" i="8" s="1"/>
  <c r="Q53" i="8" s="1"/>
  <c r="R53" i="8" s="1"/>
  <c r="S53" i="8" s="1"/>
  <c r="T53" i="8" s="1"/>
  <c r="U53" i="8" s="1"/>
  <c r="V53" i="8" s="1"/>
  <c r="S90" i="8"/>
  <c r="F91" i="8"/>
  <c r="N91" i="8"/>
  <c r="V91" i="8"/>
  <c r="C44" i="8"/>
  <c r="D44" i="8" s="1"/>
  <c r="E44" i="8" s="1"/>
  <c r="F44" i="8" s="1"/>
  <c r="G44" i="8" s="1"/>
  <c r="H44" i="8" s="1"/>
  <c r="I44" i="8" s="1"/>
  <c r="J44" i="8" s="1"/>
  <c r="K44" i="8" s="1"/>
  <c r="L44" i="8" s="1"/>
  <c r="M44" i="8" s="1"/>
  <c r="N44" i="8" s="1"/>
  <c r="O44" i="8" s="1"/>
  <c r="P44" i="8" s="1"/>
  <c r="Q44" i="8" s="1"/>
  <c r="R44" i="8" s="1"/>
  <c r="S44" i="8" s="1"/>
  <c r="T44" i="8" s="1"/>
  <c r="U44" i="8" s="1"/>
  <c r="V44" i="8" s="1"/>
  <c r="L61" i="8"/>
  <c r="C62" i="8"/>
  <c r="C74" i="8" s="1"/>
  <c r="C26" i="8"/>
  <c r="K62" i="8"/>
  <c r="S62" i="8"/>
  <c r="D90" i="8"/>
  <c r="D101" i="8" s="1"/>
  <c r="L90" i="8"/>
  <c r="T90" i="8"/>
  <c r="O91" i="8"/>
  <c r="M61" i="8"/>
  <c r="D62" i="8"/>
  <c r="D26" i="8"/>
  <c r="E26" i="8" s="1"/>
  <c r="F26" i="8" s="1"/>
  <c r="G26" i="8" s="1"/>
  <c r="H26" i="8" s="1"/>
  <c r="I26" i="8" s="1"/>
  <c r="J26" i="8" s="1"/>
  <c r="K26" i="8" s="1"/>
  <c r="L26" i="8" s="1"/>
  <c r="M26" i="8" s="1"/>
  <c r="N26" i="8" s="1"/>
  <c r="O26" i="8" s="1"/>
  <c r="P26" i="8" s="1"/>
  <c r="Q26" i="8" s="1"/>
  <c r="R26" i="8" s="1"/>
  <c r="S26" i="8" s="1"/>
  <c r="T26" i="8" s="1"/>
  <c r="U26" i="8" s="1"/>
  <c r="V26" i="8" s="1"/>
  <c r="L62" i="8"/>
  <c r="T62" i="8"/>
  <c r="J95" i="8"/>
  <c r="M96" i="8"/>
  <c r="U96" i="8"/>
  <c r="H90" i="8"/>
  <c r="P90" i="8"/>
  <c r="U62" i="8"/>
  <c r="E91" i="8"/>
  <c r="M91" i="8"/>
  <c r="U91" i="8"/>
  <c r="I91" i="8"/>
  <c r="Q91" i="8"/>
  <c r="K95" i="8"/>
  <c r="N96" i="8"/>
  <c r="G96" i="8"/>
  <c r="E95" i="8"/>
  <c r="U95" i="8"/>
  <c r="H96" i="8"/>
  <c r="I96" i="8"/>
  <c r="Q96" i="8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B5" i="6"/>
  <c r="V96" i="8" l="1"/>
  <c r="V106" i="8" s="1"/>
  <c r="B95" i="8"/>
  <c r="B98" i="8" s="1"/>
  <c r="B106" i="8"/>
  <c r="B99" i="8"/>
  <c r="O99" i="8"/>
  <c r="O106" i="8"/>
  <c r="S98" i="8"/>
  <c r="S105" i="8"/>
  <c r="F99" i="8"/>
  <c r="F106" i="8"/>
  <c r="Q51" i="8"/>
  <c r="Q42" i="8"/>
  <c r="P95" i="8"/>
  <c r="P65" i="8"/>
  <c r="P81" i="8"/>
  <c r="P83" i="8" s="1"/>
  <c r="P39" i="8"/>
  <c r="P38" i="8"/>
  <c r="P11" i="8"/>
  <c r="P12" i="8"/>
  <c r="P96" i="8"/>
  <c r="N99" i="8"/>
  <c r="N106" i="8"/>
  <c r="H101" i="8"/>
  <c r="B105" i="8"/>
  <c r="J106" i="8"/>
  <c r="J99" i="8"/>
  <c r="Q98" i="8"/>
  <c r="Q105" i="8"/>
  <c r="I98" i="8"/>
  <c r="I105" i="8"/>
  <c r="D65" i="8"/>
  <c r="D96" i="8"/>
  <c r="D38" i="8"/>
  <c r="D81" i="8"/>
  <c r="D83" i="8" s="1"/>
  <c r="D39" i="8"/>
  <c r="D11" i="8"/>
  <c r="D12" i="8"/>
  <c r="N81" i="8"/>
  <c r="N83" i="8" s="1"/>
  <c r="N65" i="8"/>
  <c r="N39" i="8"/>
  <c r="N11" i="8"/>
  <c r="N38" i="8"/>
  <c r="N12" i="8"/>
  <c r="H99" i="8"/>
  <c r="H106" i="8"/>
  <c r="Q67" i="8"/>
  <c r="Q72" i="8"/>
  <c r="L81" i="8"/>
  <c r="L83" i="8" s="1"/>
  <c r="L96" i="8"/>
  <c r="L38" i="8"/>
  <c r="L65" i="8"/>
  <c r="L39" i="8"/>
  <c r="L11" i="8"/>
  <c r="L12" i="8"/>
  <c r="V65" i="8"/>
  <c r="V81" i="8"/>
  <c r="V83" i="8" s="1"/>
  <c r="V39" i="8"/>
  <c r="V38" i="8"/>
  <c r="V11" i="8"/>
  <c r="V12" i="8"/>
  <c r="I24" i="8"/>
  <c r="I15" i="8"/>
  <c r="O105" i="8"/>
  <c r="O98" i="8"/>
  <c r="T96" i="8"/>
  <c r="T38" i="8"/>
  <c r="T65" i="8"/>
  <c r="T39" i="8"/>
  <c r="T11" i="8"/>
  <c r="T81" i="8"/>
  <c r="T83" i="8" s="1"/>
  <c r="T12" i="8"/>
  <c r="J81" i="8"/>
  <c r="J83" i="8" s="1"/>
  <c r="J65" i="8"/>
  <c r="J38" i="8"/>
  <c r="J12" i="8"/>
  <c r="J11" i="8"/>
  <c r="J39" i="8"/>
  <c r="I106" i="8"/>
  <c r="I99" i="8"/>
  <c r="M98" i="8"/>
  <c r="M105" i="8"/>
  <c r="T95" i="8"/>
  <c r="K98" i="8"/>
  <c r="K105" i="8"/>
  <c r="E108" i="8"/>
  <c r="U99" i="8"/>
  <c r="U106" i="8"/>
  <c r="G105" i="8"/>
  <c r="G98" i="8"/>
  <c r="D108" i="8"/>
  <c r="I23" i="8"/>
  <c r="I14" i="8"/>
  <c r="R81" i="8"/>
  <c r="R83" i="8" s="1"/>
  <c r="R39" i="8"/>
  <c r="R11" i="8"/>
  <c r="R12" i="8"/>
  <c r="R65" i="8"/>
  <c r="R38" i="8"/>
  <c r="G81" i="8"/>
  <c r="G83" i="8" s="1"/>
  <c r="G65" i="8"/>
  <c r="G39" i="8"/>
  <c r="G38" i="8"/>
  <c r="G11" i="8"/>
  <c r="G12" i="8"/>
  <c r="F108" i="8"/>
  <c r="G108" i="8" s="1"/>
  <c r="H108" i="8" s="1"/>
  <c r="I108" i="8" s="1"/>
  <c r="J108" i="8" s="1"/>
  <c r="K108" i="8" s="1"/>
  <c r="L108" i="8" s="1"/>
  <c r="M108" i="8" s="1"/>
  <c r="N108" i="8" s="1"/>
  <c r="O108" i="8" s="1"/>
  <c r="P108" i="8" s="1"/>
  <c r="Q108" i="8" s="1"/>
  <c r="R108" i="8" s="1"/>
  <c r="S108" i="8" s="1"/>
  <c r="T108" i="8" s="1"/>
  <c r="U108" i="8" s="1"/>
  <c r="V108" i="8" s="1"/>
  <c r="F81" i="8"/>
  <c r="F83" i="8" s="1"/>
  <c r="F65" i="8"/>
  <c r="F39" i="8"/>
  <c r="F38" i="8"/>
  <c r="F11" i="8"/>
  <c r="F12" i="8"/>
  <c r="Q106" i="8"/>
  <c r="Q99" i="8"/>
  <c r="G99" i="8"/>
  <c r="G106" i="8"/>
  <c r="V105" i="8"/>
  <c r="V98" i="8"/>
  <c r="L98" i="8"/>
  <c r="L105" i="8"/>
  <c r="I101" i="8"/>
  <c r="J101" i="8" s="1"/>
  <c r="K101" i="8" s="1"/>
  <c r="L101" i="8" s="1"/>
  <c r="M101" i="8" s="1"/>
  <c r="N101" i="8" s="1"/>
  <c r="O101" i="8" s="1"/>
  <c r="P101" i="8" s="1"/>
  <c r="Q101" i="8" s="1"/>
  <c r="R101" i="8" s="1"/>
  <c r="S101" i="8" s="1"/>
  <c r="T101" i="8" s="1"/>
  <c r="U101" i="8" s="1"/>
  <c r="V101" i="8" s="1"/>
  <c r="B81" i="8"/>
  <c r="B83" i="8" s="1"/>
  <c r="B65" i="8"/>
  <c r="B39" i="8"/>
  <c r="B12" i="8"/>
  <c r="B38" i="8"/>
  <c r="B11" i="8"/>
  <c r="E65" i="8"/>
  <c r="E38" i="8"/>
  <c r="E81" i="8"/>
  <c r="E83" i="8" s="1"/>
  <c r="E11" i="8"/>
  <c r="E12" i="8"/>
  <c r="E39" i="8"/>
  <c r="N95" i="8"/>
  <c r="D95" i="8"/>
  <c r="E96" i="8"/>
  <c r="E101" i="8"/>
  <c r="F101" i="8" s="1"/>
  <c r="G101" i="8" s="1"/>
  <c r="Q50" i="8"/>
  <c r="Q41" i="8"/>
  <c r="I67" i="8"/>
  <c r="I72" i="8"/>
  <c r="C96" i="8"/>
  <c r="C81" i="8"/>
  <c r="C83" i="8" s="1"/>
  <c r="C38" i="8"/>
  <c r="C39" i="8"/>
  <c r="C12" i="8"/>
  <c r="C65" i="8"/>
  <c r="C11" i="8"/>
  <c r="M65" i="8"/>
  <c r="M81" i="8"/>
  <c r="M83" i="8" s="1"/>
  <c r="M38" i="8"/>
  <c r="M12" i="8"/>
  <c r="M39" i="8"/>
  <c r="M11" i="8"/>
  <c r="V99" i="8"/>
  <c r="J98" i="8"/>
  <c r="J105" i="8"/>
  <c r="R106" i="8"/>
  <c r="R99" i="8"/>
  <c r="S96" i="8"/>
  <c r="S81" i="8"/>
  <c r="S83" i="8" s="1"/>
  <c r="S65" i="8"/>
  <c r="S38" i="8"/>
  <c r="S39" i="8"/>
  <c r="S12" i="8"/>
  <c r="S11" i="8"/>
  <c r="U98" i="8"/>
  <c r="U105" i="8"/>
  <c r="E98" i="8"/>
  <c r="E105" i="8"/>
  <c r="C98" i="8"/>
  <c r="C105" i="8"/>
  <c r="M99" i="8"/>
  <c r="M106" i="8"/>
  <c r="D74" i="8"/>
  <c r="E74" i="8" s="1"/>
  <c r="F74" i="8" s="1"/>
  <c r="G74" i="8" s="1"/>
  <c r="H74" i="8" s="1"/>
  <c r="I74" i="8" s="1"/>
  <c r="J74" i="8" s="1"/>
  <c r="K74" i="8" s="1"/>
  <c r="L74" i="8" s="1"/>
  <c r="M74" i="8" s="1"/>
  <c r="N74" i="8" s="1"/>
  <c r="O74" i="8" s="1"/>
  <c r="P74" i="8" s="1"/>
  <c r="Q74" i="8" s="1"/>
  <c r="R74" i="8" s="1"/>
  <c r="S74" i="8" s="1"/>
  <c r="T74" i="8" s="1"/>
  <c r="U74" i="8" s="1"/>
  <c r="V74" i="8" s="1"/>
  <c r="I51" i="8"/>
  <c r="I42" i="8"/>
  <c r="O81" i="8"/>
  <c r="O83" i="8" s="1"/>
  <c r="O65" i="8"/>
  <c r="O39" i="8"/>
  <c r="O11" i="8"/>
  <c r="O38" i="8"/>
  <c r="O12" i="8"/>
  <c r="F95" i="8"/>
  <c r="R95" i="8"/>
  <c r="D69" i="8"/>
  <c r="E69" i="8" s="1"/>
  <c r="F69" i="8" s="1"/>
  <c r="G69" i="8" s="1"/>
  <c r="H69" i="8" s="1"/>
  <c r="I69" i="8" s="1"/>
  <c r="J69" i="8" s="1"/>
  <c r="K69" i="8" s="1"/>
  <c r="L69" i="8" s="1"/>
  <c r="M69" i="8" s="1"/>
  <c r="N69" i="8" s="1"/>
  <c r="O69" i="8" s="1"/>
  <c r="P69" i="8" s="1"/>
  <c r="Q69" i="8" s="1"/>
  <c r="R69" i="8" s="1"/>
  <c r="S69" i="8" s="1"/>
  <c r="T69" i="8" s="1"/>
  <c r="U69" i="8" s="1"/>
  <c r="V69" i="8" s="1"/>
  <c r="Q24" i="8"/>
  <c r="Q29" i="8" s="1"/>
  <c r="Q30" i="8" s="1"/>
  <c r="Q15" i="8"/>
  <c r="I41" i="8"/>
  <c r="I50" i="8"/>
  <c r="K81" i="8"/>
  <c r="K83" i="8" s="1"/>
  <c r="K96" i="8"/>
  <c r="K38" i="8"/>
  <c r="K65" i="8"/>
  <c r="K39" i="8"/>
  <c r="K12" i="8"/>
  <c r="K11" i="8"/>
  <c r="U65" i="8"/>
  <c r="U38" i="8"/>
  <c r="U39" i="8"/>
  <c r="U11" i="8"/>
  <c r="U81" i="8"/>
  <c r="U83" i="8" s="1"/>
  <c r="U12" i="8"/>
  <c r="H65" i="8"/>
  <c r="H95" i="8"/>
  <c r="H81" i="8"/>
  <c r="H83" i="8" s="1"/>
  <c r="H39" i="8"/>
  <c r="H38" i="8"/>
  <c r="H11" i="8"/>
  <c r="H12" i="8"/>
  <c r="C2" i="6"/>
  <c r="D2" i="6"/>
  <c r="E2" i="6"/>
  <c r="F2" i="6"/>
  <c r="G2" i="6"/>
  <c r="H2" i="6"/>
  <c r="I2" i="6"/>
  <c r="J2" i="6"/>
  <c r="J4" i="6" s="1"/>
  <c r="J6" i="6" s="1"/>
  <c r="K2" i="6"/>
  <c r="L2" i="6"/>
  <c r="M2" i="6"/>
  <c r="N2" i="6"/>
  <c r="N4" i="6" s="1"/>
  <c r="N9" i="6" s="1"/>
  <c r="O2" i="6"/>
  <c r="P2" i="6"/>
  <c r="Q2" i="6"/>
  <c r="Q4" i="6" s="1"/>
  <c r="Q9" i="6" s="1"/>
  <c r="R2" i="6"/>
  <c r="S2" i="6"/>
  <c r="T2" i="6"/>
  <c r="U2" i="6"/>
  <c r="V2" i="6"/>
  <c r="C3" i="6"/>
  <c r="D3" i="6"/>
  <c r="E3" i="6"/>
  <c r="F3" i="6"/>
  <c r="F4" i="6" s="1"/>
  <c r="G3" i="6"/>
  <c r="H3" i="6"/>
  <c r="I3" i="6"/>
  <c r="J3" i="6"/>
  <c r="K3" i="6"/>
  <c r="L3" i="6"/>
  <c r="M3" i="6"/>
  <c r="M4" i="6" s="1"/>
  <c r="M8" i="6" s="1"/>
  <c r="N3" i="6"/>
  <c r="O3" i="6"/>
  <c r="P3" i="6"/>
  <c r="Q3" i="6"/>
  <c r="R3" i="6"/>
  <c r="S3" i="6"/>
  <c r="T3" i="6"/>
  <c r="U3" i="6"/>
  <c r="V3" i="6"/>
  <c r="V4" i="6" s="1"/>
  <c r="B3" i="6"/>
  <c r="B2" i="6"/>
  <c r="C92" i="4"/>
  <c r="D92" i="4"/>
  <c r="E92" i="4"/>
  <c r="E95" i="4" s="1"/>
  <c r="E105" i="4" s="1"/>
  <c r="F92" i="4"/>
  <c r="F95" i="4" s="1"/>
  <c r="F105" i="4" s="1"/>
  <c r="G92" i="4"/>
  <c r="G95" i="4" s="1"/>
  <c r="G98" i="4" s="1"/>
  <c r="H92" i="4"/>
  <c r="H95" i="4" s="1"/>
  <c r="I92" i="4"/>
  <c r="J92" i="4"/>
  <c r="J95" i="4" s="1"/>
  <c r="K92" i="4"/>
  <c r="L92" i="4"/>
  <c r="M92" i="4"/>
  <c r="N92" i="4"/>
  <c r="O92" i="4"/>
  <c r="O95" i="4" s="1"/>
  <c r="O98" i="4" s="1"/>
  <c r="P92" i="4"/>
  <c r="Q92" i="4"/>
  <c r="R92" i="4"/>
  <c r="R95" i="4" s="1"/>
  <c r="S92" i="4"/>
  <c r="T92" i="4"/>
  <c r="U92" i="4"/>
  <c r="V92" i="4"/>
  <c r="V95" i="4" s="1"/>
  <c r="V105" i="4" s="1"/>
  <c r="C93" i="4"/>
  <c r="C96" i="4" s="1"/>
  <c r="C99" i="4" s="1"/>
  <c r="D93" i="4"/>
  <c r="D96" i="4" s="1"/>
  <c r="E93" i="4"/>
  <c r="F93" i="4"/>
  <c r="F96" i="4" s="1"/>
  <c r="G93" i="4"/>
  <c r="H93" i="4"/>
  <c r="I93" i="4"/>
  <c r="J93" i="4"/>
  <c r="K93" i="4"/>
  <c r="K96" i="4" s="1"/>
  <c r="K99" i="4" s="1"/>
  <c r="L93" i="4"/>
  <c r="L96" i="4" s="1"/>
  <c r="M93" i="4"/>
  <c r="N93" i="4"/>
  <c r="N96" i="4" s="1"/>
  <c r="O93" i="4"/>
  <c r="P93" i="4"/>
  <c r="Q93" i="4"/>
  <c r="R93" i="4"/>
  <c r="R96" i="4" s="1"/>
  <c r="R106" i="4" s="1"/>
  <c r="S93" i="4"/>
  <c r="S96" i="4" s="1"/>
  <c r="S99" i="4" s="1"/>
  <c r="T93" i="4"/>
  <c r="T96" i="4" s="1"/>
  <c r="U93" i="4"/>
  <c r="V93" i="4"/>
  <c r="V96" i="4" s="1"/>
  <c r="B93" i="4"/>
  <c r="B96" i="4" s="1"/>
  <c r="B92" i="4"/>
  <c r="B95" i="4" s="1"/>
  <c r="B98" i="4" s="1"/>
  <c r="C101" i="4"/>
  <c r="D95" i="4"/>
  <c r="L95" i="4"/>
  <c r="P95" i="4"/>
  <c r="T95" i="4"/>
  <c r="H96" i="4"/>
  <c r="P96" i="4"/>
  <c r="D108" i="4"/>
  <c r="E108" i="4" s="1"/>
  <c r="F108" i="4" s="1"/>
  <c r="G108" i="4" s="1"/>
  <c r="H108" i="4" s="1"/>
  <c r="I108" i="4" s="1"/>
  <c r="J108" i="4" s="1"/>
  <c r="K108" i="4" s="1"/>
  <c r="L108" i="4" s="1"/>
  <c r="M108" i="4" s="1"/>
  <c r="N108" i="4" s="1"/>
  <c r="O108" i="4" s="1"/>
  <c r="P108" i="4" s="1"/>
  <c r="Q108" i="4" s="1"/>
  <c r="R108" i="4" s="1"/>
  <c r="S108" i="4" s="1"/>
  <c r="T108" i="4" s="1"/>
  <c r="U108" i="4" s="1"/>
  <c r="V108" i="4" s="1"/>
  <c r="C108" i="4"/>
  <c r="B14" i="4"/>
  <c r="D101" i="4"/>
  <c r="E101" i="4"/>
  <c r="F101" i="4" s="1"/>
  <c r="G101" i="4" s="1"/>
  <c r="H101" i="4" s="1"/>
  <c r="I101" i="4" s="1"/>
  <c r="J101" i="4" s="1"/>
  <c r="K101" i="4" s="1"/>
  <c r="L101" i="4" s="1"/>
  <c r="M101" i="4" s="1"/>
  <c r="N101" i="4" s="1"/>
  <c r="O101" i="4" s="1"/>
  <c r="P101" i="4" s="1"/>
  <c r="Q101" i="4" s="1"/>
  <c r="R101" i="4" s="1"/>
  <c r="S101" i="4" s="1"/>
  <c r="T101" i="4" s="1"/>
  <c r="U101" i="4" s="1"/>
  <c r="V101" i="4" s="1"/>
  <c r="B67" i="4"/>
  <c r="C95" i="4"/>
  <c r="C105" i="4" s="1"/>
  <c r="I95" i="4"/>
  <c r="I98" i="4" s="1"/>
  <c r="K95" i="4"/>
  <c r="K105" i="4" s="1"/>
  <c r="M95" i="4"/>
  <c r="M105" i="4" s="1"/>
  <c r="N95" i="4"/>
  <c r="N105" i="4" s="1"/>
  <c r="Q95" i="4"/>
  <c r="Q98" i="4" s="1"/>
  <c r="S95" i="4"/>
  <c r="S105" i="4" s="1"/>
  <c r="U95" i="4"/>
  <c r="U105" i="4" s="1"/>
  <c r="E96" i="4"/>
  <c r="E99" i="4" s="1"/>
  <c r="G96" i="4"/>
  <c r="G106" i="4" s="1"/>
  <c r="I96" i="4"/>
  <c r="I106" i="4" s="1"/>
  <c r="J96" i="4"/>
  <c r="J106" i="4" s="1"/>
  <c r="M96" i="4"/>
  <c r="M99" i="4" s="1"/>
  <c r="O96" i="4"/>
  <c r="O106" i="4" s="1"/>
  <c r="Q96" i="4"/>
  <c r="Q106" i="4" s="1"/>
  <c r="U96" i="4"/>
  <c r="U99" i="4" s="1"/>
  <c r="B11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B91" i="4"/>
  <c r="B90" i="4"/>
  <c r="I4" i="6" l="1"/>
  <c r="I9" i="6" s="1"/>
  <c r="V9" i="6"/>
  <c r="V6" i="6"/>
  <c r="F8" i="6"/>
  <c r="F6" i="6"/>
  <c r="M6" i="6"/>
  <c r="R99" i="4"/>
  <c r="V98" i="4"/>
  <c r="I6" i="6"/>
  <c r="B4" i="6"/>
  <c r="B6" i="6" s="1"/>
  <c r="B8" i="6"/>
  <c r="Q6" i="6"/>
  <c r="S4" i="6"/>
  <c r="S6" i="6" s="1"/>
  <c r="K4" i="6"/>
  <c r="K6" i="6" s="1"/>
  <c r="C4" i="6"/>
  <c r="C6" i="6" s="1"/>
  <c r="N6" i="6"/>
  <c r="R4" i="6"/>
  <c r="R6" i="6" s="1"/>
  <c r="C109" i="8"/>
  <c r="C86" i="8"/>
  <c r="D86" i="8" s="1"/>
  <c r="E86" i="8" s="1"/>
  <c r="F86" i="8" s="1"/>
  <c r="G86" i="8" s="1"/>
  <c r="H86" i="8" s="1"/>
  <c r="I86" i="8" s="1"/>
  <c r="J86" i="8" s="1"/>
  <c r="K86" i="8" s="1"/>
  <c r="L86" i="8" s="1"/>
  <c r="M86" i="8" s="1"/>
  <c r="N86" i="8" s="1"/>
  <c r="O86" i="8" s="1"/>
  <c r="P86" i="8" s="1"/>
  <c r="Q86" i="8" s="1"/>
  <c r="R86" i="8" s="1"/>
  <c r="S86" i="8" s="1"/>
  <c r="T86" i="8" s="1"/>
  <c r="U86" i="8" s="1"/>
  <c r="V86" i="8" s="1"/>
  <c r="C102" i="8"/>
  <c r="M67" i="8"/>
  <c r="M72" i="8"/>
  <c r="E24" i="8"/>
  <c r="E15" i="8"/>
  <c r="L41" i="8"/>
  <c r="L50" i="8"/>
  <c r="D24" i="8"/>
  <c r="D15" i="8"/>
  <c r="R98" i="8"/>
  <c r="R105" i="8"/>
  <c r="O42" i="8"/>
  <c r="O51" i="8"/>
  <c r="S99" i="8"/>
  <c r="S106" i="8"/>
  <c r="C23" i="8"/>
  <c r="C14" i="8"/>
  <c r="E23" i="8"/>
  <c r="E14" i="8"/>
  <c r="F23" i="8"/>
  <c r="F14" i="8"/>
  <c r="H67" i="8"/>
  <c r="H72" i="8"/>
  <c r="U67" i="8"/>
  <c r="U72" i="8"/>
  <c r="O72" i="8"/>
  <c r="O67" i="8"/>
  <c r="M23" i="8"/>
  <c r="M14" i="8"/>
  <c r="C72" i="8"/>
  <c r="C75" i="8" s="1"/>
  <c r="C67" i="8"/>
  <c r="B67" i="8"/>
  <c r="B72" i="8"/>
  <c r="F50" i="8"/>
  <c r="F41" i="8"/>
  <c r="G24" i="8"/>
  <c r="G15" i="8"/>
  <c r="R67" i="8"/>
  <c r="R72" i="8"/>
  <c r="I20" i="8"/>
  <c r="I21" i="8" s="1"/>
  <c r="J51" i="8"/>
  <c r="J42" i="8"/>
  <c r="N50" i="8"/>
  <c r="N41" i="8"/>
  <c r="D42" i="8"/>
  <c r="D51" i="8"/>
  <c r="P98" i="8"/>
  <c r="P105" i="8"/>
  <c r="H42" i="8"/>
  <c r="H51" i="8"/>
  <c r="S67" i="8"/>
  <c r="S72" i="8"/>
  <c r="K99" i="8"/>
  <c r="K106" i="8"/>
  <c r="O23" i="8"/>
  <c r="O14" i="8"/>
  <c r="B51" i="8"/>
  <c r="B42" i="8"/>
  <c r="T24" i="8"/>
  <c r="T15" i="8"/>
  <c r="V42" i="8"/>
  <c r="V51" i="8"/>
  <c r="N24" i="8"/>
  <c r="N15" i="8"/>
  <c r="K14" i="8"/>
  <c r="K23" i="8"/>
  <c r="I56" i="8"/>
  <c r="I57" i="8" s="1"/>
  <c r="S23" i="8"/>
  <c r="S14" i="8"/>
  <c r="M51" i="8"/>
  <c r="M42" i="8"/>
  <c r="C24" i="8"/>
  <c r="C15" i="8"/>
  <c r="Q47" i="8"/>
  <c r="Q48" i="8" s="1"/>
  <c r="F42" i="8"/>
  <c r="F51" i="8"/>
  <c r="G23" i="8"/>
  <c r="G14" i="8"/>
  <c r="R24" i="8"/>
  <c r="R15" i="8"/>
  <c r="I29" i="8"/>
  <c r="I30" i="8" s="1"/>
  <c r="J23" i="8"/>
  <c r="J14" i="8"/>
  <c r="T23" i="8"/>
  <c r="T14" i="8"/>
  <c r="V72" i="8"/>
  <c r="V67" i="8"/>
  <c r="N23" i="8"/>
  <c r="N14" i="8"/>
  <c r="P99" i="8"/>
  <c r="P106" i="8"/>
  <c r="K41" i="8"/>
  <c r="K50" i="8"/>
  <c r="U50" i="8"/>
  <c r="U41" i="8"/>
  <c r="B24" i="8"/>
  <c r="B15" i="8"/>
  <c r="F24" i="8"/>
  <c r="F15" i="8"/>
  <c r="V50" i="8"/>
  <c r="V41" i="8"/>
  <c r="H98" i="8"/>
  <c r="H105" i="8"/>
  <c r="E99" i="8"/>
  <c r="E106" i="8"/>
  <c r="R50" i="8"/>
  <c r="R41" i="8"/>
  <c r="L99" i="8"/>
  <c r="L106" i="8"/>
  <c r="D23" i="8"/>
  <c r="D14" i="8"/>
  <c r="P67" i="8"/>
  <c r="P72" i="8"/>
  <c r="H24" i="8"/>
  <c r="H15" i="8"/>
  <c r="U24" i="8"/>
  <c r="U15" i="8"/>
  <c r="K15" i="8"/>
  <c r="K24" i="8"/>
  <c r="I47" i="8"/>
  <c r="I48" i="8" s="1"/>
  <c r="S24" i="8"/>
  <c r="S15" i="8"/>
  <c r="M24" i="8"/>
  <c r="M15" i="8"/>
  <c r="C51" i="8"/>
  <c r="C42" i="8"/>
  <c r="Q56" i="8"/>
  <c r="Q57" i="8" s="1"/>
  <c r="E50" i="8"/>
  <c r="E41" i="8"/>
  <c r="G50" i="8"/>
  <c r="G41" i="8"/>
  <c r="R23" i="8"/>
  <c r="R14" i="8"/>
  <c r="J24" i="8"/>
  <c r="J15" i="8"/>
  <c r="T42" i="8"/>
  <c r="T51" i="8"/>
  <c r="L24" i="8"/>
  <c r="L15" i="8"/>
  <c r="N51" i="8"/>
  <c r="N42" i="8"/>
  <c r="D50" i="8"/>
  <c r="D41" i="8"/>
  <c r="P24" i="8"/>
  <c r="P15" i="8"/>
  <c r="U51" i="8"/>
  <c r="U42" i="8"/>
  <c r="C99" i="8"/>
  <c r="C103" i="8" s="1"/>
  <c r="C106" i="8"/>
  <c r="C110" i="8" s="1"/>
  <c r="K51" i="8"/>
  <c r="K42" i="8"/>
  <c r="F105" i="8"/>
  <c r="F98" i="8"/>
  <c r="S51" i="8"/>
  <c r="S42" i="8"/>
  <c r="M50" i="8"/>
  <c r="M41" i="8"/>
  <c r="E67" i="8"/>
  <c r="E72" i="8"/>
  <c r="G42" i="8"/>
  <c r="G51" i="8"/>
  <c r="T98" i="8"/>
  <c r="T105" i="8"/>
  <c r="N72" i="8"/>
  <c r="N67" i="8"/>
  <c r="H23" i="8"/>
  <c r="H14" i="8"/>
  <c r="C41" i="8"/>
  <c r="C50" i="8"/>
  <c r="D98" i="8"/>
  <c r="D102" i="8" s="1"/>
  <c r="D105" i="8"/>
  <c r="F72" i="8"/>
  <c r="F67" i="8"/>
  <c r="R51" i="8"/>
  <c r="R42" i="8"/>
  <c r="J50" i="8"/>
  <c r="J41" i="8"/>
  <c r="T67" i="8"/>
  <c r="T72" i="8"/>
  <c r="L23" i="8"/>
  <c r="L14" i="8"/>
  <c r="D99" i="8"/>
  <c r="D106" i="8"/>
  <c r="P14" i="8"/>
  <c r="P23" i="8"/>
  <c r="H50" i="8"/>
  <c r="H41" i="8"/>
  <c r="U23" i="8"/>
  <c r="U14" i="8"/>
  <c r="K67" i="8"/>
  <c r="K72" i="8"/>
  <c r="O24" i="8"/>
  <c r="O15" i="8"/>
  <c r="S41" i="8"/>
  <c r="S50" i="8"/>
  <c r="N105" i="8"/>
  <c r="N98" i="8"/>
  <c r="B23" i="8"/>
  <c r="B29" i="8" s="1"/>
  <c r="B30" i="8" s="1"/>
  <c r="B14" i="8"/>
  <c r="G72" i="8"/>
  <c r="G67" i="8"/>
  <c r="J72" i="8"/>
  <c r="J67" i="8"/>
  <c r="T50" i="8"/>
  <c r="T41" i="8"/>
  <c r="V24" i="8"/>
  <c r="V15" i="8"/>
  <c r="L42" i="8"/>
  <c r="L51" i="8"/>
  <c r="D67" i="8"/>
  <c r="D72" i="8"/>
  <c r="P50" i="8"/>
  <c r="P41" i="8"/>
  <c r="Q20" i="8"/>
  <c r="Q21" i="8" s="1"/>
  <c r="O50" i="8"/>
  <c r="O41" i="8"/>
  <c r="E51" i="8"/>
  <c r="E42" i="8"/>
  <c r="B50" i="8"/>
  <c r="B56" i="8" s="1"/>
  <c r="B57" i="8" s="1"/>
  <c r="B41" i="8"/>
  <c r="B47" i="8" s="1"/>
  <c r="B48" i="8" s="1"/>
  <c r="T99" i="8"/>
  <c r="T106" i="8"/>
  <c r="V23" i="8"/>
  <c r="V14" i="8"/>
  <c r="L67" i="8"/>
  <c r="L72" i="8"/>
  <c r="P42" i="8"/>
  <c r="P51" i="8"/>
  <c r="S8" i="6"/>
  <c r="S9" i="6"/>
  <c r="J8" i="6"/>
  <c r="J9" i="6"/>
  <c r="C8" i="6"/>
  <c r="U4" i="6"/>
  <c r="N8" i="6"/>
  <c r="P4" i="6"/>
  <c r="H4" i="6"/>
  <c r="V8" i="6"/>
  <c r="O4" i="6"/>
  <c r="G4" i="6"/>
  <c r="D4" i="6"/>
  <c r="D9" i="6" s="1"/>
  <c r="E4" i="6"/>
  <c r="I8" i="6"/>
  <c r="T4" i="6"/>
  <c r="F9" i="6"/>
  <c r="Q8" i="6"/>
  <c r="L4" i="6"/>
  <c r="L9" i="6" s="1"/>
  <c r="M9" i="6"/>
  <c r="B9" i="6"/>
  <c r="J99" i="4"/>
  <c r="N98" i="4"/>
  <c r="F98" i="4"/>
  <c r="B106" i="4"/>
  <c r="B99" i="4"/>
  <c r="C103" i="4" s="1"/>
  <c r="R98" i="4"/>
  <c r="R105" i="4"/>
  <c r="F99" i="4"/>
  <c r="F106" i="4"/>
  <c r="T99" i="4"/>
  <c r="T106" i="4"/>
  <c r="L99" i="4"/>
  <c r="L106" i="4"/>
  <c r="D99" i="4"/>
  <c r="D106" i="4"/>
  <c r="P98" i="4"/>
  <c r="P105" i="4"/>
  <c r="H98" i="4"/>
  <c r="H105" i="4"/>
  <c r="J98" i="4"/>
  <c r="J105" i="4"/>
  <c r="N99" i="4"/>
  <c r="N106" i="4"/>
  <c r="P106" i="4"/>
  <c r="P99" i="4"/>
  <c r="H106" i="4"/>
  <c r="H99" i="4"/>
  <c r="T105" i="4"/>
  <c r="T98" i="4"/>
  <c r="D105" i="4"/>
  <c r="D98" i="4"/>
  <c r="V99" i="4"/>
  <c r="V106" i="4"/>
  <c r="L105" i="4"/>
  <c r="L98" i="4"/>
  <c r="Q99" i="4"/>
  <c r="I99" i="4"/>
  <c r="U98" i="4"/>
  <c r="M98" i="4"/>
  <c r="E98" i="4"/>
  <c r="U106" i="4"/>
  <c r="M106" i="4"/>
  <c r="E106" i="4"/>
  <c r="Q105" i="4"/>
  <c r="I105" i="4"/>
  <c r="O99" i="4"/>
  <c r="G99" i="4"/>
  <c r="S98" i="4"/>
  <c r="K98" i="4"/>
  <c r="C98" i="4"/>
  <c r="S106" i="4"/>
  <c r="K106" i="4"/>
  <c r="C106" i="4"/>
  <c r="O105" i="4"/>
  <c r="G105" i="4"/>
  <c r="B105" i="4"/>
  <c r="C109" i="4" s="1"/>
  <c r="D109" i="4" s="1"/>
  <c r="E109" i="4" s="1"/>
  <c r="F109" i="4" s="1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C24" i="7"/>
  <c r="C25" i="1"/>
  <c r="B23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K20" i="5"/>
  <c r="AJ20" i="5"/>
  <c r="AI20" i="5"/>
  <c r="AH20" i="5"/>
  <c r="AG20" i="5"/>
  <c r="AF20" i="5"/>
  <c r="AE20" i="5"/>
  <c r="AD20" i="5"/>
  <c r="AC20" i="5"/>
  <c r="AB20" i="5"/>
  <c r="AK19" i="5"/>
  <c r="AJ19" i="5"/>
  <c r="AI19" i="5"/>
  <c r="AH19" i="5"/>
  <c r="AG19" i="5"/>
  <c r="AF19" i="5"/>
  <c r="AE19" i="5"/>
  <c r="AD19" i="5"/>
  <c r="AC19" i="5"/>
  <c r="AB19" i="5"/>
  <c r="AK18" i="5"/>
  <c r="AJ18" i="5"/>
  <c r="AI18" i="5"/>
  <c r="AH18" i="5"/>
  <c r="AG18" i="5"/>
  <c r="AF18" i="5"/>
  <c r="AE18" i="5"/>
  <c r="AD18" i="5"/>
  <c r="AC18" i="5"/>
  <c r="AB18" i="5"/>
  <c r="AK17" i="5"/>
  <c r="AJ17" i="5"/>
  <c r="AI17" i="5"/>
  <c r="AH17" i="5"/>
  <c r="AG17" i="5"/>
  <c r="AF17" i="5"/>
  <c r="AE17" i="5"/>
  <c r="AD17" i="5"/>
  <c r="AC17" i="5"/>
  <c r="AB17" i="5"/>
  <c r="AK6" i="5"/>
  <c r="AJ6" i="5"/>
  <c r="AI6" i="5"/>
  <c r="AH6" i="5"/>
  <c r="AG6" i="5"/>
  <c r="AF6" i="5"/>
  <c r="AE6" i="5"/>
  <c r="AD6" i="5"/>
  <c r="AC6" i="5"/>
  <c r="AB6" i="5"/>
  <c r="AK5" i="5"/>
  <c r="AJ5" i="5"/>
  <c r="AI5" i="5"/>
  <c r="AH5" i="5"/>
  <c r="AG5" i="5"/>
  <c r="AF5" i="5"/>
  <c r="AE5" i="5"/>
  <c r="AD5" i="5"/>
  <c r="AC5" i="5"/>
  <c r="AB5" i="5"/>
  <c r="AK4" i="5"/>
  <c r="AJ4" i="5"/>
  <c r="AI4" i="5"/>
  <c r="AH4" i="5"/>
  <c r="AG4" i="5"/>
  <c r="AF4" i="5"/>
  <c r="AE4" i="5"/>
  <c r="AD4" i="5"/>
  <c r="AC4" i="5"/>
  <c r="AB4" i="5"/>
  <c r="AJ3" i="5"/>
  <c r="AI3" i="5"/>
  <c r="AH3" i="5"/>
  <c r="AG3" i="5"/>
  <c r="AF3" i="5"/>
  <c r="AE3" i="5"/>
  <c r="AD3" i="5"/>
  <c r="AC3" i="5"/>
  <c r="AB3" i="5"/>
  <c r="B87" i="4"/>
  <c r="V87" i="4"/>
  <c r="K9" i="6" l="1"/>
  <c r="K8" i="6"/>
  <c r="D103" i="4"/>
  <c r="E103" i="4" s="1"/>
  <c r="F103" i="4" s="1"/>
  <c r="E8" i="6"/>
  <c r="E6" i="6"/>
  <c r="U8" i="6"/>
  <c r="U6" i="6"/>
  <c r="H9" i="6"/>
  <c r="H6" i="6"/>
  <c r="G109" i="4"/>
  <c r="H109" i="4" s="1"/>
  <c r="I109" i="4" s="1"/>
  <c r="J109" i="4" s="1"/>
  <c r="K109" i="4" s="1"/>
  <c r="L109" i="4" s="1"/>
  <c r="M109" i="4" s="1"/>
  <c r="N109" i="4" s="1"/>
  <c r="O109" i="4" s="1"/>
  <c r="P109" i="4" s="1"/>
  <c r="Q109" i="4" s="1"/>
  <c r="R109" i="4" s="1"/>
  <c r="S109" i="4" s="1"/>
  <c r="T109" i="4" s="1"/>
  <c r="U109" i="4" s="1"/>
  <c r="V109" i="4" s="1"/>
  <c r="D8" i="6"/>
  <c r="D6" i="6"/>
  <c r="C9" i="6"/>
  <c r="R9" i="6"/>
  <c r="G9" i="6"/>
  <c r="G6" i="6"/>
  <c r="P9" i="6"/>
  <c r="P6" i="6"/>
  <c r="L8" i="6"/>
  <c r="L6" i="6"/>
  <c r="O9" i="6"/>
  <c r="O6" i="6"/>
  <c r="G8" i="6"/>
  <c r="T8" i="6"/>
  <c r="T6" i="6"/>
  <c r="C110" i="4"/>
  <c r="D110" i="4" s="1"/>
  <c r="E110" i="4" s="1"/>
  <c r="F110" i="4" s="1"/>
  <c r="G110" i="4" s="1"/>
  <c r="H110" i="4" s="1"/>
  <c r="I110" i="4" s="1"/>
  <c r="J110" i="4" s="1"/>
  <c r="K110" i="4" s="1"/>
  <c r="L110" i="4" s="1"/>
  <c r="M110" i="4" s="1"/>
  <c r="N110" i="4" s="1"/>
  <c r="O110" i="4" s="1"/>
  <c r="P110" i="4" s="1"/>
  <c r="Q110" i="4" s="1"/>
  <c r="R110" i="4" s="1"/>
  <c r="S110" i="4" s="1"/>
  <c r="T110" i="4" s="1"/>
  <c r="U110" i="4" s="1"/>
  <c r="V110" i="4" s="1"/>
  <c r="O8" i="6"/>
  <c r="R8" i="6"/>
  <c r="D109" i="8"/>
  <c r="E109" i="8" s="1"/>
  <c r="F109" i="8" s="1"/>
  <c r="G109" i="8" s="1"/>
  <c r="H109" i="8" s="1"/>
  <c r="I109" i="8" s="1"/>
  <c r="J109" i="8" s="1"/>
  <c r="K109" i="8" s="1"/>
  <c r="L109" i="8" s="1"/>
  <c r="M109" i="8" s="1"/>
  <c r="N109" i="8" s="1"/>
  <c r="O109" i="8" s="1"/>
  <c r="P109" i="8" s="1"/>
  <c r="Q109" i="8" s="1"/>
  <c r="R109" i="8" s="1"/>
  <c r="S109" i="8" s="1"/>
  <c r="T109" i="8" s="1"/>
  <c r="U109" i="8" s="1"/>
  <c r="V109" i="8" s="1"/>
  <c r="D103" i="8"/>
  <c r="E103" i="8" s="1"/>
  <c r="F103" i="8" s="1"/>
  <c r="G103" i="8" s="1"/>
  <c r="H103" i="8" s="1"/>
  <c r="I103" i="8" s="1"/>
  <c r="J103" i="8" s="1"/>
  <c r="K103" i="8" s="1"/>
  <c r="L103" i="8" s="1"/>
  <c r="M103" i="8" s="1"/>
  <c r="N103" i="8" s="1"/>
  <c r="O103" i="8" s="1"/>
  <c r="P103" i="8" s="1"/>
  <c r="Q103" i="8" s="1"/>
  <c r="R103" i="8" s="1"/>
  <c r="S103" i="8" s="1"/>
  <c r="T103" i="8" s="1"/>
  <c r="U103" i="8" s="1"/>
  <c r="V103" i="8" s="1"/>
  <c r="C19" i="8"/>
  <c r="B20" i="8"/>
  <c r="B21" i="8" s="1"/>
  <c r="D110" i="8"/>
  <c r="E110" i="8" s="1"/>
  <c r="F110" i="8" s="1"/>
  <c r="G110" i="8" s="1"/>
  <c r="H110" i="8" s="1"/>
  <c r="I110" i="8" s="1"/>
  <c r="J110" i="8" s="1"/>
  <c r="K110" i="8" s="1"/>
  <c r="L110" i="8" s="1"/>
  <c r="M110" i="8" s="1"/>
  <c r="N110" i="8" s="1"/>
  <c r="O110" i="8" s="1"/>
  <c r="P110" i="8" s="1"/>
  <c r="Q110" i="8" s="1"/>
  <c r="R110" i="8" s="1"/>
  <c r="S110" i="8" s="1"/>
  <c r="T110" i="8" s="1"/>
  <c r="U110" i="8" s="1"/>
  <c r="V110" i="8" s="1"/>
  <c r="C28" i="8"/>
  <c r="D28" i="8" s="1"/>
  <c r="E28" i="8" s="1"/>
  <c r="F28" i="8" s="1"/>
  <c r="G28" i="8" s="1"/>
  <c r="H28" i="8" s="1"/>
  <c r="I28" i="8" s="1"/>
  <c r="J28" i="8" s="1"/>
  <c r="K28" i="8" s="1"/>
  <c r="L28" i="8" s="1"/>
  <c r="M28" i="8" s="1"/>
  <c r="T47" i="8"/>
  <c r="T48" i="8" s="1"/>
  <c r="T56" i="8"/>
  <c r="T57" i="8" s="1"/>
  <c r="M20" i="8"/>
  <c r="J56" i="8"/>
  <c r="J57" i="8" s="1"/>
  <c r="N20" i="8"/>
  <c r="G20" i="8"/>
  <c r="G21" i="8" s="1"/>
  <c r="F56" i="8"/>
  <c r="F57" i="8" s="1"/>
  <c r="M29" i="8"/>
  <c r="E29" i="8"/>
  <c r="E30" i="8" s="1"/>
  <c r="S56" i="8"/>
  <c r="S57" i="8" s="1"/>
  <c r="C54" i="8"/>
  <c r="C56" i="8"/>
  <c r="C57" i="8" s="1"/>
  <c r="E47" i="8"/>
  <c r="E48" i="8" s="1"/>
  <c r="D29" i="8"/>
  <c r="D30" i="8" s="1"/>
  <c r="K56" i="8"/>
  <c r="K57" i="8" s="1"/>
  <c r="J20" i="8"/>
  <c r="J21" i="8" s="1"/>
  <c r="K29" i="8"/>
  <c r="K30" i="8" s="1"/>
  <c r="S47" i="8"/>
  <c r="S48" i="8" s="1"/>
  <c r="U20" i="8"/>
  <c r="C45" i="8"/>
  <c r="D45" i="8" s="1"/>
  <c r="E45" i="8" s="1"/>
  <c r="F45" i="8" s="1"/>
  <c r="G45" i="8" s="1"/>
  <c r="H45" i="8" s="1"/>
  <c r="I45" i="8" s="1"/>
  <c r="J45" i="8" s="1"/>
  <c r="K45" i="8" s="1"/>
  <c r="L45" i="8" s="1"/>
  <c r="M45" i="8" s="1"/>
  <c r="C47" i="8"/>
  <c r="C48" i="8" s="1"/>
  <c r="M47" i="8"/>
  <c r="E56" i="8"/>
  <c r="E57" i="8" s="1"/>
  <c r="K47" i="8"/>
  <c r="K48" i="8" s="1"/>
  <c r="N29" i="8"/>
  <c r="J29" i="8"/>
  <c r="J30" i="8" s="1"/>
  <c r="G29" i="8"/>
  <c r="G30" i="8" s="1"/>
  <c r="K20" i="8"/>
  <c r="K21" i="8" s="1"/>
  <c r="C18" i="8"/>
  <c r="D18" i="8" s="1"/>
  <c r="E18" i="8" s="1"/>
  <c r="F18" i="8" s="1"/>
  <c r="G18" i="8" s="1"/>
  <c r="H18" i="8" s="1"/>
  <c r="I18" i="8" s="1"/>
  <c r="J18" i="8" s="1"/>
  <c r="K18" i="8" s="1"/>
  <c r="L18" i="8" s="1"/>
  <c r="M18" i="8" s="1"/>
  <c r="C20" i="8"/>
  <c r="C21" i="8" s="1"/>
  <c r="V47" i="8"/>
  <c r="T20" i="8"/>
  <c r="T21" i="8" s="1"/>
  <c r="O56" i="8"/>
  <c r="O57" i="8" s="1"/>
  <c r="J47" i="8"/>
  <c r="J48" i="8" s="1"/>
  <c r="V20" i="8"/>
  <c r="V56" i="8"/>
  <c r="T29" i="8"/>
  <c r="T30" i="8" s="1"/>
  <c r="L20" i="8"/>
  <c r="L21" i="8" s="1"/>
  <c r="P56" i="8"/>
  <c r="P57" i="8" s="1"/>
  <c r="H47" i="8"/>
  <c r="H48" i="8" s="1"/>
  <c r="L29" i="8"/>
  <c r="L30" i="8" s="1"/>
  <c r="R29" i="8"/>
  <c r="R47" i="8"/>
  <c r="S20" i="8"/>
  <c r="S21" i="8" s="1"/>
  <c r="O20" i="8"/>
  <c r="O21" i="8" s="1"/>
  <c r="N56" i="8"/>
  <c r="D70" i="8"/>
  <c r="E70" i="8" s="1"/>
  <c r="F70" i="8" s="1"/>
  <c r="G70" i="8" s="1"/>
  <c r="H70" i="8" s="1"/>
  <c r="I70" i="8" s="1"/>
  <c r="J70" i="8" s="1"/>
  <c r="K70" i="8" s="1"/>
  <c r="L70" i="8" s="1"/>
  <c r="M70" i="8" s="1"/>
  <c r="N70" i="8" s="1"/>
  <c r="O70" i="8" s="1"/>
  <c r="P70" i="8" s="1"/>
  <c r="Q70" i="8" s="1"/>
  <c r="R70" i="8" s="1"/>
  <c r="S70" i="8" s="1"/>
  <c r="T70" i="8" s="1"/>
  <c r="U70" i="8" s="1"/>
  <c r="V70" i="8" s="1"/>
  <c r="U56" i="8"/>
  <c r="F29" i="8"/>
  <c r="F30" i="8" s="1"/>
  <c r="F47" i="8"/>
  <c r="F48" i="8" s="1"/>
  <c r="E20" i="8"/>
  <c r="E21" i="8" s="1"/>
  <c r="U29" i="8"/>
  <c r="M56" i="8"/>
  <c r="N47" i="8"/>
  <c r="D19" i="8"/>
  <c r="E19" i="8" s="1"/>
  <c r="F19" i="8" s="1"/>
  <c r="G19" i="8" s="1"/>
  <c r="H19" i="8" s="1"/>
  <c r="I19" i="8" s="1"/>
  <c r="J19" i="8" s="1"/>
  <c r="K19" i="8" s="1"/>
  <c r="L19" i="8" s="1"/>
  <c r="M19" i="8" s="1"/>
  <c r="H56" i="8"/>
  <c r="H57" i="8" s="1"/>
  <c r="H20" i="8"/>
  <c r="H21" i="8" s="1"/>
  <c r="D47" i="8"/>
  <c r="D48" i="8" s="1"/>
  <c r="G47" i="8"/>
  <c r="G48" i="8" s="1"/>
  <c r="C46" i="8"/>
  <c r="D46" i="8" s="1"/>
  <c r="E46" i="8" s="1"/>
  <c r="F46" i="8" s="1"/>
  <c r="G46" i="8" s="1"/>
  <c r="H46" i="8" s="1"/>
  <c r="I46" i="8" s="1"/>
  <c r="J46" i="8" s="1"/>
  <c r="K46" i="8" s="1"/>
  <c r="L46" i="8" s="1"/>
  <c r="M46" i="8" s="1"/>
  <c r="R56" i="8"/>
  <c r="S29" i="8"/>
  <c r="S30" i="8" s="1"/>
  <c r="O29" i="8"/>
  <c r="O30" i="8" s="1"/>
  <c r="L56" i="8"/>
  <c r="L57" i="8" s="1"/>
  <c r="E102" i="8"/>
  <c r="F102" i="8" s="1"/>
  <c r="G102" i="8" s="1"/>
  <c r="H102" i="8" s="1"/>
  <c r="I102" i="8" s="1"/>
  <c r="J102" i="8" s="1"/>
  <c r="K102" i="8" s="1"/>
  <c r="L102" i="8" s="1"/>
  <c r="M102" i="8" s="1"/>
  <c r="N102" i="8" s="1"/>
  <c r="O102" i="8" s="1"/>
  <c r="P102" i="8" s="1"/>
  <c r="Q102" i="8" s="1"/>
  <c r="R102" i="8" s="1"/>
  <c r="S102" i="8" s="1"/>
  <c r="T102" i="8" s="1"/>
  <c r="U102" i="8" s="1"/>
  <c r="V102" i="8" s="1"/>
  <c r="O47" i="8"/>
  <c r="O48" i="8" s="1"/>
  <c r="P20" i="8"/>
  <c r="P21" i="8" s="1"/>
  <c r="D20" i="8"/>
  <c r="D21" i="8" s="1"/>
  <c r="V29" i="8"/>
  <c r="P47" i="8"/>
  <c r="P48" i="8" s="1"/>
  <c r="R20" i="8"/>
  <c r="C27" i="8"/>
  <c r="D27" i="8" s="1"/>
  <c r="E27" i="8" s="1"/>
  <c r="F27" i="8" s="1"/>
  <c r="G27" i="8" s="1"/>
  <c r="H27" i="8" s="1"/>
  <c r="I27" i="8" s="1"/>
  <c r="J27" i="8" s="1"/>
  <c r="K27" i="8" s="1"/>
  <c r="L27" i="8" s="1"/>
  <c r="M27" i="8" s="1"/>
  <c r="C29" i="8"/>
  <c r="C30" i="8" s="1"/>
  <c r="D75" i="8"/>
  <c r="E75" i="8" s="1"/>
  <c r="F75" i="8" s="1"/>
  <c r="G75" i="8" s="1"/>
  <c r="H75" i="8" s="1"/>
  <c r="I75" i="8" s="1"/>
  <c r="J75" i="8" s="1"/>
  <c r="K75" i="8" s="1"/>
  <c r="L75" i="8" s="1"/>
  <c r="M75" i="8" s="1"/>
  <c r="N75" i="8" s="1"/>
  <c r="O75" i="8" s="1"/>
  <c r="P75" i="8" s="1"/>
  <c r="Q75" i="8" s="1"/>
  <c r="R75" i="8" s="1"/>
  <c r="S75" i="8" s="1"/>
  <c r="T75" i="8" s="1"/>
  <c r="U75" i="8" s="1"/>
  <c r="V75" i="8" s="1"/>
  <c r="P29" i="8"/>
  <c r="P30" i="8" s="1"/>
  <c r="H29" i="8"/>
  <c r="H30" i="8" s="1"/>
  <c r="D56" i="8"/>
  <c r="D57" i="8" s="1"/>
  <c r="D54" i="8"/>
  <c r="E54" i="8" s="1"/>
  <c r="F54" i="8" s="1"/>
  <c r="G54" i="8" s="1"/>
  <c r="H54" i="8" s="1"/>
  <c r="I54" i="8" s="1"/>
  <c r="J54" i="8" s="1"/>
  <c r="K54" i="8" s="1"/>
  <c r="L54" i="8" s="1"/>
  <c r="M54" i="8" s="1"/>
  <c r="G56" i="8"/>
  <c r="G57" i="8" s="1"/>
  <c r="C55" i="8"/>
  <c r="D55" i="8" s="1"/>
  <c r="E55" i="8" s="1"/>
  <c r="F55" i="8" s="1"/>
  <c r="G55" i="8" s="1"/>
  <c r="H55" i="8" s="1"/>
  <c r="I55" i="8" s="1"/>
  <c r="J55" i="8" s="1"/>
  <c r="K55" i="8" s="1"/>
  <c r="L55" i="8" s="1"/>
  <c r="M55" i="8" s="1"/>
  <c r="U47" i="8"/>
  <c r="C70" i="8"/>
  <c r="F20" i="8"/>
  <c r="F21" i="8" s="1"/>
  <c r="L47" i="8"/>
  <c r="L48" i="8" s="1"/>
  <c r="P8" i="6"/>
  <c r="H8" i="6"/>
  <c r="T9" i="6"/>
  <c r="E9" i="6"/>
  <c r="U9" i="6"/>
  <c r="C102" i="4"/>
  <c r="D102" i="4" s="1"/>
  <c r="E102" i="4" s="1"/>
  <c r="F102" i="4" s="1"/>
  <c r="G102" i="4" s="1"/>
  <c r="H102" i="4" s="1"/>
  <c r="I102" i="4" s="1"/>
  <c r="J102" i="4" s="1"/>
  <c r="K102" i="4" s="1"/>
  <c r="L102" i="4" s="1"/>
  <c r="M102" i="4" s="1"/>
  <c r="N102" i="4" s="1"/>
  <c r="O102" i="4" s="1"/>
  <c r="P102" i="4" s="1"/>
  <c r="Q102" i="4" s="1"/>
  <c r="R102" i="4" s="1"/>
  <c r="S102" i="4" s="1"/>
  <c r="T102" i="4" s="1"/>
  <c r="U102" i="4" s="1"/>
  <c r="V102" i="4" s="1"/>
  <c r="G103" i="4"/>
  <c r="H103" i="4" s="1"/>
  <c r="I103" i="4" s="1"/>
  <c r="J103" i="4" s="1"/>
  <c r="K103" i="4" s="1"/>
  <c r="L103" i="4" s="1"/>
  <c r="M103" i="4" s="1"/>
  <c r="N103" i="4" s="1"/>
  <c r="O103" i="4" s="1"/>
  <c r="P103" i="4" s="1"/>
  <c r="Q103" i="4" s="1"/>
  <c r="R103" i="4" s="1"/>
  <c r="S103" i="4" s="1"/>
  <c r="T103" i="4" s="1"/>
  <c r="U103" i="4" s="1"/>
  <c r="V103" i="4" s="1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B34" i="4"/>
  <c r="B33" i="4"/>
  <c r="Y54" i="8" l="1"/>
  <c r="N54" i="8"/>
  <c r="Y28" i="8"/>
  <c r="N28" i="8"/>
  <c r="Y18" i="8"/>
  <c r="N18" i="8"/>
  <c r="Y19" i="8"/>
  <c r="N19" i="8"/>
  <c r="Y46" i="8"/>
  <c r="N46" i="8"/>
  <c r="Y45" i="8"/>
  <c r="N45" i="8"/>
  <c r="Y55" i="8"/>
  <c r="N55" i="8"/>
  <c r="Y27" i="8"/>
  <c r="N27" i="8"/>
  <c r="N57" i="8"/>
  <c r="Z56" i="8"/>
  <c r="AB29" i="8"/>
  <c r="AA29" i="8"/>
  <c r="R30" i="8"/>
  <c r="V57" i="8"/>
  <c r="AH56" i="8"/>
  <c r="AI56" i="8"/>
  <c r="AG56" i="8"/>
  <c r="Z20" i="8"/>
  <c r="N21" i="8"/>
  <c r="Y20" i="8"/>
  <c r="M21" i="8"/>
  <c r="Z29" i="8"/>
  <c r="N30" i="8"/>
  <c r="AB56" i="8"/>
  <c r="AA56" i="8"/>
  <c r="R57" i="8"/>
  <c r="U48" i="8"/>
  <c r="AF47" i="8"/>
  <c r="AE47" i="8"/>
  <c r="R21" i="8"/>
  <c r="AB20" i="8"/>
  <c r="AA20" i="8"/>
  <c r="AF56" i="8"/>
  <c r="U57" i="8"/>
  <c r="AE56" i="8"/>
  <c r="M48" i="8"/>
  <c r="Y47" i="8"/>
  <c r="Z47" i="8"/>
  <c r="N48" i="8"/>
  <c r="V21" i="8"/>
  <c r="AI20" i="8"/>
  <c r="AH20" i="8"/>
  <c r="AG20" i="8"/>
  <c r="AG29" i="8"/>
  <c r="AH29" i="8"/>
  <c r="V30" i="8"/>
  <c r="AI29" i="8"/>
  <c r="AF29" i="8"/>
  <c r="AE29" i="8"/>
  <c r="U30" i="8"/>
  <c r="AF20" i="8"/>
  <c r="U21" i="8"/>
  <c r="AE20" i="8"/>
  <c r="AA47" i="8"/>
  <c r="R48" i="8"/>
  <c r="AB47" i="8"/>
  <c r="M57" i="8"/>
  <c r="Y56" i="8"/>
  <c r="AG47" i="8"/>
  <c r="AI47" i="8"/>
  <c r="V48" i="8"/>
  <c r="AH47" i="8"/>
  <c r="M30" i="8"/>
  <c r="Y29" i="8"/>
  <c r="C53" i="4"/>
  <c r="D53" i="4" s="1"/>
  <c r="E53" i="4" s="1"/>
  <c r="F53" i="4" s="1"/>
  <c r="G53" i="4" s="1"/>
  <c r="H53" i="4" s="1"/>
  <c r="I53" i="4" s="1"/>
  <c r="J53" i="4" s="1"/>
  <c r="K53" i="4" s="1"/>
  <c r="L53" i="4" s="1"/>
  <c r="M53" i="4" s="1"/>
  <c r="N53" i="4" s="1"/>
  <c r="O53" i="4" s="1"/>
  <c r="P53" i="4" s="1"/>
  <c r="Q53" i="4" s="1"/>
  <c r="R53" i="4" s="1"/>
  <c r="S53" i="4" s="1"/>
  <c r="T53" i="4" s="1"/>
  <c r="U53" i="4" s="1"/>
  <c r="V53" i="4" s="1"/>
  <c r="C44" i="4"/>
  <c r="C7" i="4"/>
  <c r="C62" i="4" s="1"/>
  <c r="D7" i="4"/>
  <c r="D62" i="4" s="1"/>
  <c r="E7" i="4"/>
  <c r="E62" i="4" s="1"/>
  <c r="F7" i="4"/>
  <c r="F62" i="4" s="1"/>
  <c r="G7" i="4"/>
  <c r="G62" i="4" s="1"/>
  <c r="H7" i="4"/>
  <c r="H62" i="4" s="1"/>
  <c r="I7" i="4"/>
  <c r="I62" i="4" s="1"/>
  <c r="J7" i="4"/>
  <c r="J62" i="4" s="1"/>
  <c r="K7" i="4"/>
  <c r="K62" i="4" s="1"/>
  <c r="L7" i="4"/>
  <c r="L62" i="4" s="1"/>
  <c r="M7" i="4"/>
  <c r="M62" i="4" s="1"/>
  <c r="N7" i="4"/>
  <c r="N62" i="4" s="1"/>
  <c r="O7" i="4"/>
  <c r="O62" i="4" s="1"/>
  <c r="P7" i="4"/>
  <c r="P62" i="4" s="1"/>
  <c r="Q7" i="4"/>
  <c r="Q62" i="4" s="1"/>
  <c r="R7" i="4"/>
  <c r="R62" i="4" s="1"/>
  <c r="S7" i="4"/>
  <c r="S62" i="4" s="1"/>
  <c r="T7" i="4"/>
  <c r="T62" i="4" s="1"/>
  <c r="U7" i="4"/>
  <c r="U62" i="4" s="1"/>
  <c r="V7" i="4"/>
  <c r="V62" i="4" s="1"/>
  <c r="B7" i="4"/>
  <c r="B62" i="4" s="1"/>
  <c r="C6" i="4"/>
  <c r="C61" i="4" s="1"/>
  <c r="D6" i="4"/>
  <c r="D61" i="4" s="1"/>
  <c r="E6" i="4"/>
  <c r="E61" i="4" s="1"/>
  <c r="F6" i="4"/>
  <c r="F61" i="4" s="1"/>
  <c r="G6" i="4"/>
  <c r="G61" i="4" s="1"/>
  <c r="H6" i="4"/>
  <c r="H61" i="4" s="1"/>
  <c r="I6" i="4"/>
  <c r="I61" i="4" s="1"/>
  <c r="J6" i="4"/>
  <c r="J61" i="4" s="1"/>
  <c r="K6" i="4"/>
  <c r="K61" i="4" s="1"/>
  <c r="L6" i="4"/>
  <c r="L61" i="4" s="1"/>
  <c r="M6" i="4"/>
  <c r="M61" i="4" s="1"/>
  <c r="N6" i="4"/>
  <c r="N61" i="4" s="1"/>
  <c r="O6" i="4"/>
  <c r="O61" i="4" s="1"/>
  <c r="P6" i="4"/>
  <c r="P61" i="4" s="1"/>
  <c r="Q6" i="4"/>
  <c r="Q61" i="4" s="1"/>
  <c r="R6" i="4"/>
  <c r="R61" i="4" s="1"/>
  <c r="S6" i="4"/>
  <c r="S61" i="4" s="1"/>
  <c r="T6" i="4"/>
  <c r="T61" i="4" s="1"/>
  <c r="U6" i="4"/>
  <c r="U61" i="4" s="1"/>
  <c r="V6" i="4"/>
  <c r="V61" i="4" s="1"/>
  <c r="B6" i="4"/>
  <c r="B61" i="4" s="1"/>
  <c r="W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Z27" i="8" l="1"/>
  <c r="O27" i="8"/>
  <c r="P27" i="8" s="1"/>
  <c r="Q27" i="8" s="1"/>
  <c r="R27" i="8" s="1"/>
  <c r="Z19" i="8"/>
  <c r="O19" i="8"/>
  <c r="P19" i="8" s="1"/>
  <c r="Q19" i="8" s="1"/>
  <c r="R19" i="8" s="1"/>
  <c r="Z45" i="8"/>
  <c r="O45" i="8"/>
  <c r="P45" i="8" s="1"/>
  <c r="Q45" i="8" s="1"/>
  <c r="R45" i="8" s="1"/>
  <c r="Z28" i="8"/>
  <c r="O28" i="8"/>
  <c r="P28" i="8" s="1"/>
  <c r="Q28" i="8" s="1"/>
  <c r="R28" i="8" s="1"/>
  <c r="Z18" i="8"/>
  <c r="O18" i="8"/>
  <c r="P18" i="8" s="1"/>
  <c r="Q18" i="8" s="1"/>
  <c r="R18" i="8" s="1"/>
  <c r="Z46" i="8"/>
  <c r="O46" i="8"/>
  <c r="P46" i="8" s="1"/>
  <c r="Q46" i="8" s="1"/>
  <c r="R46" i="8" s="1"/>
  <c r="Z54" i="8"/>
  <c r="O54" i="8"/>
  <c r="P54" i="8" s="1"/>
  <c r="Q54" i="8" s="1"/>
  <c r="R54" i="8" s="1"/>
  <c r="Z55" i="8"/>
  <c r="O55" i="8"/>
  <c r="P55" i="8" s="1"/>
  <c r="Q55" i="8" s="1"/>
  <c r="R55" i="8" s="1"/>
  <c r="C69" i="4"/>
  <c r="C74" i="4"/>
  <c r="D74" i="4" s="1"/>
  <c r="E74" i="4" s="1"/>
  <c r="F74" i="4" s="1"/>
  <c r="G74" i="4" s="1"/>
  <c r="H74" i="4" s="1"/>
  <c r="I74" i="4" s="1"/>
  <c r="J74" i="4" s="1"/>
  <c r="K74" i="4" s="1"/>
  <c r="L74" i="4" s="1"/>
  <c r="M74" i="4" s="1"/>
  <c r="N74" i="4" s="1"/>
  <c r="O74" i="4" s="1"/>
  <c r="P74" i="4" s="1"/>
  <c r="Q74" i="4" s="1"/>
  <c r="R74" i="4" s="1"/>
  <c r="S74" i="4" s="1"/>
  <c r="T74" i="4" s="1"/>
  <c r="U74" i="4" s="1"/>
  <c r="V74" i="4" s="1"/>
  <c r="C17" i="4"/>
  <c r="C26" i="4"/>
  <c r="D26" i="4" s="1"/>
  <c r="E26" i="4" s="1"/>
  <c r="F26" i="4" s="1"/>
  <c r="G26" i="4" s="1"/>
  <c r="H26" i="4" s="1"/>
  <c r="I26" i="4" s="1"/>
  <c r="J26" i="4" s="1"/>
  <c r="K26" i="4" s="1"/>
  <c r="L26" i="4" s="1"/>
  <c r="M26" i="4" s="1"/>
  <c r="N26" i="4" s="1"/>
  <c r="O26" i="4" s="1"/>
  <c r="P26" i="4" s="1"/>
  <c r="Q26" i="4" s="1"/>
  <c r="R26" i="4" s="1"/>
  <c r="S26" i="4" s="1"/>
  <c r="T26" i="4" s="1"/>
  <c r="U26" i="4" s="1"/>
  <c r="V26" i="4" s="1"/>
  <c r="B4" i="4"/>
  <c r="B65" i="4" s="1"/>
  <c r="Q4" i="4"/>
  <c r="P4" i="4"/>
  <c r="I4" i="4"/>
  <c r="H4" i="4"/>
  <c r="W4" i="4"/>
  <c r="O4" i="4"/>
  <c r="G4" i="4"/>
  <c r="V4" i="4"/>
  <c r="N4" i="4"/>
  <c r="F4" i="4"/>
  <c r="U4" i="4"/>
  <c r="M4" i="4"/>
  <c r="E4" i="4"/>
  <c r="T4" i="4"/>
  <c r="L4" i="4"/>
  <c r="D4" i="4"/>
  <c r="S4" i="4"/>
  <c r="K4" i="4"/>
  <c r="C4" i="4"/>
  <c r="R4" i="4"/>
  <c r="J4" i="4"/>
  <c r="C11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C18" i="7"/>
  <c r="C17" i="7"/>
  <c r="C16" i="7"/>
  <c r="C15" i="7"/>
  <c r="AA27" i="8" l="1"/>
  <c r="AB27" i="8"/>
  <c r="S27" i="8"/>
  <c r="AB55" i="8"/>
  <c r="AA55" i="8"/>
  <c r="S55" i="8"/>
  <c r="AB28" i="8"/>
  <c r="AA28" i="8"/>
  <c r="S28" i="8"/>
  <c r="AA18" i="8"/>
  <c r="AB18" i="8"/>
  <c r="S18" i="8"/>
  <c r="AA45" i="8"/>
  <c r="AB45" i="8"/>
  <c r="S45" i="8"/>
  <c r="AB54" i="8"/>
  <c r="AA54" i="8"/>
  <c r="S54" i="8"/>
  <c r="AA46" i="8"/>
  <c r="AB46" i="8"/>
  <c r="S46" i="8"/>
  <c r="AB19" i="8"/>
  <c r="AA19" i="8"/>
  <c r="S19" i="8"/>
  <c r="B72" i="4"/>
  <c r="V65" i="4"/>
  <c r="V81" i="4"/>
  <c r="V83" i="4" s="1"/>
  <c r="B38" i="4"/>
  <c r="C32" i="1"/>
  <c r="V25" i="1"/>
  <c r="W25" i="1"/>
  <c r="C11" i="5"/>
  <c r="AC27" i="8" l="1"/>
  <c r="T27" i="8"/>
  <c r="U27" i="8" s="1"/>
  <c r="AC28" i="8"/>
  <c r="T28" i="8"/>
  <c r="U28" i="8" s="1"/>
  <c r="AC45" i="8"/>
  <c r="T45" i="8"/>
  <c r="U45" i="8" s="1"/>
  <c r="AC54" i="8"/>
  <c r="T54" i="8"/>
  <c r="U54" i="8" s="1"/>
  <c r="AC19" i="8"/>
  <c r="T19" i="8"/>
  <c r="U19" i="8" s="1"/>
  <c r="AC55" i="8"/>
  <c r="T55" i="8"/>
  <c r="U55" i="8" s="1"/>
  <c r="AC46" i="8"/>
  <c r="T46" i="8"/>
  <c r="U46" i="8" s="1"/>
  <c r="AC18" i="8"/>
  <c r="T18" i="8"/>
  <c r="U18" i="8" s="1"/>
  <c r="V67" i="4"/>
  <c r="V72" i="4"/>
  <c r="B50" i="4"/>
  <c r="B41" i="4"/>
  <c r="B23" i="4"/>
  <c r="D21" i="1"/>
  <c r="C9" i="7"/>
  <c r="D19" i="1"/>
  <c r="C22" i="7"/>
  <c r="C21" i="7"/>
  <c r="E19" i="1"/>
  <c r="B21" i="5"/>
  <c r="D10" i="7"/>
  <c r="D20" i="7" s="1"/>
  <c r="E10" i="7"/>
  <c r="E20" i="7" s="1"/>
  <c r="F10" i="7"/>
  <c r="F20" i="7" s="1"/>
  <c r="G10" i="7"/>
  <c r="G20" i="7" s="1"/>
  <c r="H10" i="7"/>
  <c r="H20" i="7" s="1"/>
  <c r="I10" i="7"/>
  <c r="I20" i="7" s="1"/>
  <c r="J10" i="7"/>
  <c r="J20" i="7" s="1"/>
  <c r="K10" i="7"/>
  <c r="K20" i="7" s="1"/>
  <c r="L10" i="7"/>
  <c r="L20" i="7" s="1"/>
  <c r="M10" i="7"/>
  <c r="M20" i="7" s="1"/>
  <c r="N10" i="7"/>
  <c r="N20" i="7" s="1"/>
  <c r="O10" i="7"/>
  <c r="O20" i="7" s="1"/>
  <c r="P10" i="7"/>
  <c r="P20" i="7" s="1"/>
  <c r="Q10" i="7"/>
  <c r="Q20" i="7" s="1"/>
  <c r="R10" i="7"/>
  <c r="R20" i="7" s="1"/>
  <c r="S10" i="7"/>
  <c r="S20" i="7" s="1"/>
  <c r="T10" i="7"/>
  <c r="T20" i="7" s="1"/>
  <c r="U10" i="7"/>
  <c r="U20" i="7" s="1"/>
  <c r="V10" i="7"/>
  <c r="V20" i="7" s="1"/>
  <c r="W10" i="7"/>
  <c r="W20" i="7" s="1"/>
  <c r="C10" i="7"/>
  <c r="C20" i="7" s="1"/>
  <c r="E9" i="7"/>
  <c r="E19" i="7" s="1"/>
  <c r="F9" i="7"/>
  <c r="F19" i="7" s="1"/>
  <c r="G9" i="7"/>
  <c r="G19" i="7" s="1"/>
  <c r="H9" i="7"/>
  <c r="H19" i="7" s="1"/>
  <c r="I9" i="7"/>
  <c r="I19" i="7" s="1"/>
  <c r="J9" i="7"/>
  <c r="J19" i="7" s="1"/>
  <c r="K9" i="7"/>
  <c r="K19" i="7" s="1"/>
  <c r="L9" i="7"/>
  <c r="L19" i="7" s="1"/>
  <c r="M9" i="7"/>
  <c r="M19" i="7" s="1"/>
  <c r="N9" i="7"/>
  <c r="N19" i="7" s="1"/>
  <c r="O9" i="7"/>
  <c r="O19" i="7" s="1"/>
  <c r="P9" i="7"/>
  <c r="P19" i="7" s="1"/>
  <c r="Q9" i="7"/>
  <c r="Q19" i="7" s="1"/>
  <c r="R9" i="7"/>
  <c r="R19" i="7" s="1"/>
  <c r="S9" i="7"/>
  <c r="S19" i="7" s="1"/>
  <c r="T9" i="7"/>
  <c r="T19" i="7" s="1"/>
  <c r="U9" i="7"/>
  <c r="U19" i="7" s="1"/>
  <c r="V9" i="7"/>
  <c r="V19" i="7" s="1"/>
  <c r="W9" i="7"/>
  <c r="W19" i="7" s="1"/>
  <c r="D9" i="7"/>
  <c r="D19" i="7" s="1"/>
  <c r="C12" i="1"/>
  <c r="AF18" i="8" l="1"/>
  <c r="AE18" i="8"/>
  <c r="AD18" i="8"/>
  <c r="V18" i="8"/>
  <c r="AE54" i="8"/>
  <c r="AF54" i="8"/>
  <c r="AD54" i="8"/>
  <c r="V54" i="8"/>
  <c r="AE46" i="8"/>
  <c r="AF46" i="8"/>
  <c r="AD46" i="8"/>
  <c r="V46" i="8"/>
  <c r="AD55" i="8"/>
  <c r="AF55" i="8"/>
  <c r="AE55" i="8"/>
  <c r="V55" i="8"/>
  <c r="AE28" i="8"/>
  <c r="AF28" i="8"/>
  <c r="AD28" i="8"/>
  <c r="V28" i="8"/>
  <c r="AD19" i="8"/>
  <c r="AF19" i="8"/>
  <c r="AE19" i="8"/>
  <c r="V19" i="8"/>
  <c r="AD45" i="8"/>
  <c r="AF45" i="8"/>
  <c r="AE45" i="8"/>
  <c r="V45" i="8"/>
  <c r="AD27" i="8"/>
  <c r="AE27" i="8"/>
  <c r="AF27" i="8"/>
  <c r="V27" i="8"/>
  <c r="D21" i="7"/>
  <c r="E21" i="7" s="1"/>
  <c r="F21" i="7" s="1"/>
  <c r="G21" i="7" s="1"/>
  <c r="H21" i="7" s="1"/>
  <c r="I21" i="7" s="1"/>
  <c r="J21" i="7" s="1"/>
  <c r="K21" i="7" s="1"/>
  <c r="L21" i="7" s="1"/>
  <c r="M21" i="7" s="1"/>
  <c r="N21" i="7" s="1"/>
  <c r="O21" i="7" s="1"/>
  <c r="P21" i="7" s="1"/>
  <c r="Q21" i="7" s="1"/>
  <c r="R21" i="7" s="1"/>
  <c r="S21" i="7" s="1"/>
  <c r="T21" i="7" s="1"/>
  <c r="U21" i="7" s="1"/>
  <c r="V21" i="7" s="1"/>
  <c r="W21" i="7" s="1"/>
  <c r="C19" i="7"/>
  <c r="D22" i="7"/>
  <c r="E22" i="7" s="1"/>
  <c r="F22" i="7" s="1"/>
  <c r="G22" i="7" s="1"/>
  <c r="H22" i="7" s="1"/>
  <c r="I22" i="7" s="1"/>
  <c r="J22" i="7" s="1"/>
  <c r="K22" i="7" s="1"/>
  <c r="L22" i="7" s="1"/>
  <c r="M22" i="7" s="1"/>
  <c r="N22" i="7" s="1"/>
  <c r="O22" i="7" s="1"/>
  <c r="P22" i="7" s="1"/>
  <c r="Q22" i="7" s="1"/>
  <c r="R22" i="7" s="1"/>
  <c r="S22" i="7" s="1"/>
  <c r="T22" i="7" s="1"/>
  <c r="U22" i="7" s="1"/>
  <c r="V22" i="7" s="1"/>
  <c r="W22" i="7" s="1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AI27" i="8" l="1"/>
  <c r="AH27" i="8"/>
  <c r="AG27" i="8"/>
  <c r="AH19" i="8"/>
  <c r="AI19" i="8"/>
  <c r="AG19" i="8"/>
  <c r="AI55" i="8"/>
  <c r="AG55" i="8"/>
  <c r="AH55" i="8"/>
  <c r="AI54" i="8"/>
  <c r="AH54" i="8"/>
  <c r="AG54" i="8"/>
  <c r="AI28" i="8"/>
  <c r="AH28" i="8"/>
  <c r="AG28" i="8"/>
  <c r="AI46" i="8"/>
  <c r="AH46" i="8"/>
  <c r="AG46" i="8"/>
  <c r="AG18" i="8"/>
  <c r="AI18" i="8"/>
  <c r="AH18" i="8"/>
  <c r="AH45" i="8"/>
  <c r="AG45" i="8"/>
  <c r="AI45" i="8"/>
  <c r="B118" i="4"/>
  <c r="B119" i="4" s="1"/>
  <c r="B114" i="4"/>
  <c r="B115" i="4" s="1"/>
  <c r="V38" i="4"/>
  <c r="B112" i="4"/>
  <c r="U114" i="4"/>
  <c r="U115" i="4" s="1"/>
  <c r="E118" i="4"/>
  <c r="E119" i="4" s="1"/>
  <c r="F118" i="4"/>
  <c r="F119" i="4" s="1"/>
  <c r="G118" i="4"/>
  <c r="G119" i="4" s="1"/>
  <c r="H118" i="4"/>
  <c r="H119" i="4" s="1"/>
  <c r="J118" i="4"/>
  <c r="J119" i="4" s="1"/>
  <c r="M118" i="4"/>
  <c r="M119" i="4" s="1"/>
  <c r="N118" i="4"/>
  <c r="N119" i="4" s="1"/>
  <c r="O118" i="4"/>
  <c r="O119" i="4" s="1"/>
  <c r="R118" i="4"/>
  <c r="R119" i="4" s="1"/>
  <c r="U118" i="4"/>
  <c r="U119" i="4" s="1"/>
  <c r="E114" i="4"/>
  <c r="E115" i="4" s="1"/>
  <c r="C114" i="4"/>
  <c r="C115" i="4" s="1"/>
  <c r="D114" i="4"/>
  <c r="D115" i="4" s="1"/>
  <c r="F114" i="4"/>
  <c r="F115" i="4" s="1"/>
  <c r="G114" i="4"/>
  <c r="G115" i="4" s="1"/>
  <c r="H114" i="4"/>
  <c r="H115" i="4" s="1"/>
  <c r="I114" i="4"/>
  <c r="I115" i="4" s="1"/>
  <c r="J114" i="4"/>
  <c r="J115" i="4" s="1"/>
  <c r="K114" i="4"/>
  <c r="K115" i="4" s="1"/>
  <c r="L114" i="4"/>
  <c r="L115" i="4" s="1"/>
  <c r="M114" i="4"/>
  <c r="M115" i="4" s="1"/>
  <c r="N114" i="4"/>
  <c r="N115" i="4" s="1"/>
  <c r="O114" i="4"/>
  <c r="O115" i="4" s="1"/>
  <c r="P114" i="4"/>
  <c r="P115" i="4" s="1"/>
  <c r="Q114" i="4"/>
  <c r="Q115" i="4" s="1"/>
  <c r="R114" i="4"/>
  <c r="R115" i="4" s="1"/>
  <c r="S114" i="4"/>
  <c r="S115" i="4" s="1"/>
  <c r="T114" i="4"/>
  <c r="T115" i="4" s="1"/>
  <c r="V41" i="4" l="1"/>
  <c r="V50" i="4"/>
  <c r="C116" i="4"/>
  <c r="D116" i="4" s="1"/>
  <c r="E116" i="4" s="1"/>
  <c r="F116" i="4" s="1"/>
  <c r="G116" i="4" s="1"/>
  <c r="H116" i="4" s="1"/>
  <c r="I116" i="4" s="1"/>
  <c r="J116" i="4" s="1"/>
  <c r="K116" i="4" s="1"/>
  <c r="L116" i="4" s="1"/>
  <c r="M116" i="4" s="1"/>
  <c r="N116" i="4" s="1"/>
  <c r="O116" i="4" s="1"/>
  <c r="P116" i="4" s="1"/>
  <c r="Q116" i="4" s="1"/>
  <c r="R116" i="4" s="1"/>
  <c r="S116" i="4" s="1"/>
  <c r="T116" i="4" s="1"/>
  <c r="U116" i="4" s="1"/>
  <c r="H65" i="4"/>
  <c r="H72" i="4" s="1"/>
  <c r="Q118" i="4"/>
  <c r="Q119" i="4" s="1"/>
  <c r="P118" i="4"/>
  <c r="P119" i="4" s="1"/>
  <c r="Q65" i="4"/>
  <c r="Q72" i="4" s="1"/>
  <c r="Q39" i="4"/>
  <c r="Q51" i="4" s="1"/>
  <c r="I65" i="4"/>
  <c r="I72" i="4" s="1"/>
  <c r="I39" i="4"/>
  <c r="I51" i="4" s="1"/>
  <c r="P122" i="4"/>
  <c r="P123" i="4" s="1"/>
  <c r="P39" i="4"/>
  <c r="P51" i="4" s="1"/>
  <c r="L118" i="4"/>
  <c r="L119" i="4" s="1"/>
  <c r="R39" i="4"/>
  <c r="R51" i="4" s="1"/>
  <c r="K118" i="4"/>
  <c r="K119" i="4" s="1"/>
  <c r="I118" i="4"/>
  <c r="I119" i="4" s="1"/>
  <c r="H39" i="4"/>
  <c r="H51" i="4" s="1"/>
  <c r="J39" i="4"/>
  <c r="J51" i="4" s="1"/>
  <c r="V11" i="4"/>
  <c r="V39" i="4"/>
  <c r="D38" i="4"/>
  <c r="D50" i="4" s="1"/>
  <c r="D122" i="4"/>
  <c r="D123" i="4" s="1"/>
  <c r="D81" i="4"/>
  <c r="D12" i="4"/>
  <c r="D24" i="4" s="1"/>
  <c r="D11" i="4"/>
  <c r="D23" i="4" s="1"/>
  <c r="D39" i="4"/>
  <c r="D51" i="4" s="1"/>
  <c r="D65" i="4"/>
  <c r="D72" i="4" s="1"/>
  <c r="S81" i="4"/>
  <c r="S12" i="4"/>
  <c r="S24" i="4" s="1"/>
  <c r="S39" i="4"/>
  <c r="S51" i="4" s="1"/>
  <c r="S122" i="4"/>
  <c r="S123" i="4" s="1"/>
  <c r="S65" i="4"/>
  <c r="S72" i="4" s="1"/>
  <c r="S11" i="4"/>
  <c r="S23" i="4" s="1"/>
  <c r="S38" i="4"/>
  <c r="S50" i="4" s="1"/>
  <c r="T38" i="4"/>
  <c r="T50" i="4" s="1"/>
  <c r="T81" i="4"/>
  <c r="T39" i="4"/>
  <c r="T51" i="4" s="1"/>
  <c r="T122" i="4"/>
  <c r="T123" i="4" s="1"/>
  <c r="T12" i="4"/>
  <c r="T65" i="4"/>
  <c r="T72" i="4" s="1"/>
  <c r="T11" i="4"/>
  <c r="T23" i="4" s="1"/>
  <c r="L38" i="4"/>
  <c r="L50" i="4" s="1"/>
  <c r="L81" i="4"/>
  <c r="L12" i="4"/>
  <c r="L24" i="4" s="1"/>
  <c r="L11" i="4"/>
  <c r="L23" i="4" s="1"/>
  <c r="L39" i="4"/>
  <c r="L51" i="4" s="1"/>
  <c r="L65" i="4"/>
  <c r="L72" i="4" s="1"/>
  <c r="L122" i="4"/>
  <c r="L123" i="4" s="1"/>
  <c r="K81" i="4"/>
  <c r="K12" i="4"/>
  <c r="K24" i="4" s="1"/>
  <c r="K38" i="4"/>
  <c r="K50" i="4" s="1"/>
  <c r="K39" i="4"/>
  <c r="K51" i="4" s="1"/>
  <c r="K65" i="4"/>
  <c r="K72" i="4" s="1"/>
  <c r="K11" i="4"/>
  <c r="K23" i="4" s="1"/>
  <c r="K122" i="4"/>
  <c r="K123" i="4" s="1"/>
  <c r="C81" i="4"/>
  <c r="C12" i="4"/>
  <c r="C24" i="4" s="1"/>
  <c r="C39" i="4"/>
  <c r="C51" i="4" s="1"/>
  <c r="C38" i="4"/>
  <c r="C50" i="4" s="1"/>
  <c r="C122" i="4"/>
  <c r="C123" i="4" s="1"/>
  <c r="C65" i="4"/>
  <c r="C72" i="4" s="1"/>
  <c r="C75" i="4" s="1"/>
  <c r="C11" i="4"/>
  <c r="C23" i="4" s="1"/>
  <c r="Q12" i="4"/>
  <c r="Q24" i="4" s="1"/>
  <c r="I81" i="4"/>
  <c r="B122" i="4"/>
  <c r="B123" i="4" s="1"/>
  <c r="H12" i="4"/>
  <c r="H24" i="4" s="1"/>
  <c r="Q81" i="4"/>
  <c r="I38" i="4"/>
  <c r="I50" i="4" s="1"/>
  <c r="H81" i="4"/>
  <c r="Q11" i="4"/>
  <c r="Q23" i="4" s="1"/>
  <c r="I11" i="4"/>
  <c r="I23" i="4" s="1"/>
  <c r="B81" i="4"/>
  <c r="B83" i="4" s="1"/>
  <c r="I12" i="4"/>
  <c r="I24" i="4" s="1"/>
  <c r="P12" i="4"/>
  <c r="P24" i="4" s="1"/>
  <c r="Q38" i="4"/>
  <c r="Q50" i="4" s="1"/>
  <c r="P81" i="4"/>
  <c r="B39" i="4"/>
  <c r="B51" i="4" s="1"/>
  <c r="B56" i="4" s="1"/>
  <c r="B57" i="4" s="1"/>
  <c r="P38" i="4"/>
  <c r="P50" i="4" s="1"/>
  <c r="H38" i="4"/>
  <c r="H50" i="4" s="1"/>
  <c r="T118" i="4"/>
  <c r="T119" i="4" s="1"/>
  <c r="D118" i="4"/>
  <c r="D119" i="4" s="1"/>
  <c r="Q122" i="4"/>
  <c r="Q123" i="4" s="1"/>
  <c r="I122" i="4"/>
  <c r="I123" i="4" s="1"/>
  <c r="P11" i="4"/>
  <c r="P23" i="4" s="1"/>
  <c r="H11" i="4"/>
  <c r="H23" i="4" s="1"/>
  <c r="R81" i="4"/>
  <c r="H122" i="4"/>
  <c r="H123" i="4" s="1"/>
  <c r="B12" i="4"/>
  <c r="P65" i="4"/>
  <c r="P72" i="4" s="1"/>
  <c r="S118" i="4"/>
  <c r="S119" i="4" s="1"/>
  <c r="C118" i="4"/>
  <c r="C119" i="4" s="1"/>
  <c r="C120" i="4" s="1"/>
  <c r="V12" i="4"/>
  <c r="C112" i="4"/>
  <c r="C113" i="4" s="1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I56" i="4" l="1"/>
  <c r="I57" i="4" s="1"/>
  <c r="D75" i="4"/>
  <c r="Q56" i="4"/>
  <c r="Q57" i="4" s="1"/>
  <c r="H56" i="4"/>
  <c r="H57" i="4" s="1"/>
  <c r="P56" i="4"/>
  <c r="P57" i="4" s="1"/>
  <c r="K56" i="4"/>
  <c r="K57" i="4" s="1"/>
  <c r="T56" i="4"/>
  <c r="T57" i="4" s="1"/>
  <c r="D56" i="4"/>
  <c r="D57" i="4" s="1"/>
  <c r="V42" i="4"/>
  <c r="V47" i="4" s="1"/>
  <c r="V51" i="4"/>
  <c r="V56" i="4" s="1"/>
  <c r="C56" i="4"/>
  <c r="C57" i="4" s="1"/>
  <c r="C54" i="4"/>
  <c r="D54" i="4" s="1"/>
  <c r="C55" i="4"/>
  <c r="D55" i="4" s="1"/>
  <c r="L56" i="4"/>
  <c r="L57" i="4" s="1"/>
  <c r="S56" i="4"/>
  <c r="S57" i="4" s="1"/>
  <c r="S29" i="4"/>
  <c r="S30" i="4" s="1"/>
  <c r="L29" i="4"/>
  <c r="L30" i="4" s="1"/>
  <c r="K29" i="4"/>
  <c r="K30" i="4" s="1"/>
  <c r="H29" i="4"/>
  <c r="H30" i="4" s="1"/>
  <c r="Q29" i="4"/>
  <c r="Q30" i="4" s="1"/>
  <c r="P29" i="4"/>
  <c r="P30" i="4" s="1"/>
  <c r="I29" i="4"/>
  <c r="I30" i="4" s="1"/>
  <c r="C27" i="4"/>
  <c r="D27" i="4" s="1"/>
  <c r="C29" i="4"/>
  <c r="C30" i="4" s="1"/>
  <c r="D29" i="4"/>
  <c r="D30" i="4" s="1"/>
  <c r="B24" i="4"/>
  <c r="B29" i="4" s="1"/>
  <c r="B30" i="4" s="1"/>
  <c r="B15" i="4"/>
  <c r="T15" i="4"/>
  <c r="T24" i="4"/>
  <c r="T29" i="4" s="1"/>
  <c r="T30" i="4" s="1"/>
  <c r="V15" i="4"/>
  <c r="V24" i="4"/>
  <c r="V14" i="4"/>
  <c r="V23" i="4"/>
  <c r="C124" i="4"/>
  <c r="D124" i="4" s="1"/>
  <c r="R65" i="4"/>
  <c r="R72" i="4" s="1"/>
  <c r="J65" i="4"/>
  <c r="J72" i="4" s="1"/>
  <c r="J11" i="4"/>
  <c r="J23" i="4" s="1"/>
  <c r="J12" i="4"/>
  <c r="J24" i="4" s="1"/>
  <c r="J38" i="4"/>
  <c r="J50" i="4" s="1"/>
  <c r="J56" i="4" s="1"/>
  <c r="J57" i="4" s="1"/>
  <c r="J122" i="4"/>
  <c r="J123" i="4" s="1"/>
  <c r="J81" i="4"/>
  <c r="R38" i="4"/>
  <c r="R50" i="4" s="1"/>
  <c r="R56" i="4" s="1"/>
  <c r="AB56" i="4" s="1"/>
  <c r="R122" i="4"/>
  <c r="R123" i="4" s="1"/>
  <c r="D120" i="4"/>
  <c r="E120" i="4" s="1"/>
  <c r="F120" i="4" s="1"/>
  <c r="G120" i="4" s="1"/>
  <c r="H120" i="4" s="1"/>
  <c r="I120" i="4" s="1"/>
  <c r="J120" i="4" s="1"/>
  <c r="K120" i="4" s="1"/>
  <c r="L120" i="4" s="1"/>
  <c r="M120" i="4" s="1"/>
  <c r="N120" i="4" s="1"/>
  <c r="O120" i="4" s="1"/>
  <c r="P120" i="4" s="1"/>
  <c r="Q120" i="4" s="1"/>
  <c r="R120" i="4" s="1"/>
  <c r="S120" i="4" s="1"/>
  <c r="T120" i="4" s="1"/>
  <c r="U120" i="4" s="1"/>
  <c r="R12" i="4"/>
  <c r="R24" i="4" s="1"/>
  <c r="R11" i="4"/>
  <c r="R23" i="4" s="1"/>
  <c r="M11" i="4"/>
  <c r="M23" i="4" s="1"/>
  <c r="M38" i="4"/>
  <c r="M50" i="4" s="1"/>
  <c r="M122" i="4"/>
  <c r="M123" i="4" s="1"/>
  <c r="M81" i="4"/>
  <c r="M12" i="4"/>
  <c r="M24" i="4" s="1"/>
  <c r="M39" i="4"/>
  <c r="M51" i="4" s="1"/>
  <c r="M65" i="4"/>
  <c r="M72" i="4" s="1"/>
  <c r="G65" i="4"/>
  <c r="G72" i="4" s="1"/>
  <c r="G122" i="4"/>
  <c r="G123" i="4" s="1"/>
  <c r="G11" i="4"/>
  <c r="G23" i="4" s="1"/>
  <c r="G38" i="4"/>
  <c r="G50" i="4" s="1"/>
  <c r="G81" i="4"/>
  <c r="G12" i="4"/>
  <c r="G24" i="4" s="1"/>
  <c r="G39" i="4"/>
  <c r="G51" i="4" s="1"/>
  <c r="U122" i="4"/>
  <c r="U123" i="4" s="1"/>
  <c r="U81" i="4"/>
  <c r="U65" i="4"/>
  <c r="U72" i="4" s="1"/>
  <c r="U11" i="4"/>
  <c r="U39" i="4"/>
  <c r="U51" i="4" s="1"/>
  <c r="U12" i="4"/>
  <c r="U24" i="4" s="1"/>
  <c r="U38" i="4"/>
  <c r="O65" i="4"/>
  <c r="O72" i="4" s="1"/>
  <c r="O122" i="4"/>
  <c r="O123" i="4" s="1"/>
  <c r="O11" i="4"/>
  <c r="O23" i="4" s="1"/>
  <c r="O81" i="4"/>
  <c r="O12" i="4"/>
  <c r="O24" i="4" s="1"/>
  <c r="O38" i="4"/>
  <c r="O50" i="4" s="1"/>
  <c r="O39" i="4"/>
  <c r="O51" i="4" s="1"/>
  <c r="F11" i="4"/>
  <c r="F23" i="4" s="1"/>
  <c r="F122" i="4"/>
  <c r="F123" i="4" s="1"/>
  <c r="F38" i="4"/>
  <c r="F50" i="4" s="1"/>
  <c r="F39" i="4"/>
  <c r="F51" i="4" s="1"/>
  <c r="F81" i="4"/>
  <c r="F12" i="4"/>
  <c r="F24" i="4" s="1"/>
  <c r="F65" i="4"/>
  <c r="F72" i="4" s="1"/>
  <c r="N11" i="4"/>
  <c r="N23" i="4" s="1"/>
  <c r="N122" i="4"/>
  <c r="N123" i="4" s="1"/>
  <c r="N38" i="4"/>
  <c r="N50" i="4" s="1"/>
  <c r="N81" i="4"/>
  <c r="N12" i="4"/>
  <c r="N24" i="4" s="1"/>
  <c r="N39" i="4"/>
  <c r="N51" i="4" s="1"/>
  <c r="N65" i="4"/>
  <c r="N72" i="4" s="1"/>
  <c r="E38" i="4"/>
  <c r="E50" i="4" s="1"/>
  <c r="E81" i="4"/>
  <c r="E12" i="4"/>
  <c r="E24" i="4" s="1"/>
  <c r="E65" i="4"/>
  <c r="E72" i="4" s="1"/>
  <c r="E39" i="4"/>
  <c r="E51" i="4" s="1"/>
  <c r="E122" i="4"/>
  <c r="E123" i="4" s="1"/>
  <c r="E11" i="4"/>
  <c r="E23" i="4" s="1"/>
  <c r="D113" i="4"/>
  <c r="E113" i="4" s="1"/>
  <c r="F113" i="4" s="1"/>
  <c r="G113" i="4" s="1"/>
  <c r="H113" i="4" s="1"/>
  <c r="I113" i="4" s="1"/>
  <c r="J113" i="4" s="1"/>
  <c r="K113" i="4" s="1"/>
  <c r="L113" i="4" s="1"/>
  <c r="M113" i="4" s="1"/>
  <c r="N113" i="4" s="1"/>
  <c r="O113" i="4" s="1"/>
  <c r="P113" i="4" s="1"/>
  <c r="Q113" i="4" s="1"/>
  <c r="R113" i="4" s="1"/>
  <c r="S113" i="4" s="1"/>
  <c r="T113" i="4" s="1"/>
  <c r="U113" i="4" s="1"/>
  <c r="E75" i="4" l="1"/>
  <c r="F75" i="4" s="1"/>
  <c r="G75" i="4" s="1"/>
  <c r="H75" i="4" s="1"/>
  <c r="I75" i="4" s="1"/>
  <c r="J75" i="4" s="1"/>
  <c r="K75" i="4" s="1"/>
  <c r="L75" i="4" s="1"/>
  <c r="M75" i="4" s="1"/>
  <c r="N75" i="4" s="1"/>
  <c r="O75" i="4" s="1"/>
  <c r="P75" i="4" s="1"/>
  <c r="Q75" i="4" s="1"/>
  <c r="R75" i="4" s="1"/>
  <c r="S75" i="4" s="1"/>
  <c r="T75" i="4" s="1"/>
  <c r="U75" i="4" s="1"/>
  <c r="V75" i="4" s="1"/>
  <c r="AH56" i="4"/>
  <c r="R57" i="4"/>
  <c r="V48" i="4"/>
  <c r="V57" i="4"/>
  <c r="AI56" i="4"/>
  <c r="G56" i="4"/>
  <c r="G57" i="4" s="1"/>
  <c r="M56" i="4"/>
  <c r="U41" i="4"/>
  <c r="U50" i="4"/>
  <c r="U56" i="4" s="1"/>
  <c r="AF56" i="4" s="1"/>
  <c r="O56" i="4"/>
  <c r="O57" i="4" s="1"/>
  <c r="E56" i="4"/>
  <c r="E57" i="4" s="1"/>
  <c r="E54" i="4"/>
  <c r="F54" i="4" s="1"/>
  <c r="G54" i="4" s="1"/>
  <c r="H54" i="4" s="1"/>
  <c r="I54" i="4" s="1"/>
  <c r="J54" i="4" s="1"/>
  <c r="K54" i="4" s="1"/>
  <c r="L54" i="4" s="1"/>
  <c r="M54" i="4" s="1"/>
  <c r="F56" i="4"/>
  <c r="F57" i="4" s="1"/>
  <c r="E55" i="4"/>
  <c r="F55" i="4" s="1"/>
  <c r="G55" i="4" s="1"/>
  <c r="H55" i="4" s="1"/>
  <c r="I55" i="4" s="1"/>
  <c r="J55" i="4" s="1"/>
  <c r="K55" i="4" s="1"/>
  <c r="L55" i="4" s="1"/>
  <c r="M55" i="4" s="1"/>
  <c r="N56" i="4"/>
  <c r="M29" i="4"/>
  <c r="R29" i="4"/>
  <c r="AB29" i="4" s="1"/>
  <c r="O29" i="4"/>
  <c r="O30" i="4" s="1"/>
  <c r="N29" i="4"/>
  <c r="V29" i="4"/>
  <c r="G29" i="4"/>
  <c r="G30" i="4" s="1"/>
  <c r="V20" i="4"/>
  <c r="E27" i="4"/>
  <c r="F27" i="4" s="1"/>
  <c r="G27" i="4" s="1"/>
  <c r="H27" i="4" s="1"/>
  <c r="I27" i="4" s="1"/>
  <c r="J27" i="4" s="1"/>
  <c r="K27" i="4" s="1"/>
  <c r="L27" i="4" s="1"/>
  <c r="M27" i="4" s="1"/>
  <c r="E29" i="4"/>
  <c r="E30" i="4" s="1"/>
  <c r="J29" i="4"/>
  <c r="J30" i="4" s="1"/>
  <c r="C28" i="4"/>
  <c r="D28" i="4" s="1"/>
  <c r="E28" i="4" s="1"/>
  <c r="F28" i="4" s="1"/>
  <c r="G28" i="4" s="1"/>
  <c r="H28" i="4" s="1"/>
  <c r="I28" i="4" s="1"/>
  <c r="J28" i="4" s="1"/>
  <c r="K28" i="4" s="1"/>
  <c r="L28" i="4" s="1"/>
  <c r="M28" i="4" s="1"/>
  <c r="F29" i="4"/>
  <c r="F30" i="4" s="1"/>
  <c r="U14" i="4"/>
  <c r="U23" i="4"/>
  <c r="U29" i="4" s="1"/>
  <c r="AF29" i="4" s="1"/>
  <c r="E124" i="4"/>
  <c r="F124" i="4" s="1"/>
  <c r="G124" i="4" s="1"/>
  <c r="H124" i="4" s="1"/>
  <c r="I124" i="4" s="1"/>
  <c r="J124" i="4" s="1"/>
  <c r="K124" i="4" s="1"/>
  <c r="L124" i="4" s="1"/>
  <c r="M124" i="4" s="1"/>
  <c r="N124" i="4" s="1"/>
  <c r="O124" i="4" s="1"/>
  <c r="P124" i="4" s="1"/>
  <c r="Q124" i="4" s="1"/>
  <c r="R124" i="4" s="1"/>
  <c r="S124" i="4" s="1"/>
  <c r="T124" i="4" s="1"/>
  <c r="U124" i="4" s="1"/>
  <c r="V21" i="1"/>
  <c r="U21" i="1"/>
  <c r="S21" i="1"/>
  <c r="R21" i="1"/>
  <c r="Q21" i="1"/>
  <c r="P21" i="1"/>
  <c r="O21" i="1"/>
  <c r="N21" i="1"/>
  <c r="L21" i="1"/>
  <c r="K21" i="1"/>
  <c r="J21" i="1"/>
  <c r="I21" i="1"/>
  <c r="H21" i="1"/>
  <c r="G21" i="1"/>
  <c r="F21" i="1"/>
  <c r="E21" i="1"/>
  <c r="C21" i="5"/>
  <c r="D21" i="5"/>
  <c r="E21" i="5"/>
  <c r="F21" i="5"/>
  <c r="G21" i="5"/>
  <c r="H21" i="5"/>
  <c r="I21" i="5"/>
  <c r="AB21" i="5" s="1"/>
  <c r="J21" i="5"/>
  <c r="K21" i="5"/>
  <c r="L21" i="5"/>
  <c r="M21" i="5"/>
  <c r="N21" i="5"/>
  <c r="O21" i="5"/>
  <c r="P21" i="5"/>
  <c r="Q21" i="5"/>
  <c r="AE21" i="5" s="1"/>
  <c r="R21" i="5"/>
  <c r="S21" i="5"/>
  <c r="T21" i="5"/>
  <c r="U21" i="5"/>
  <c r="V21" i="5"/>
  <c r="W21" i="5"/>
  <c r="X21" i="5"/>
  <c r="Y21" i="5"/>
  <c r="Z21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B7" i="5"/>
  <c r="C28" i="5"/>
  <c r="D28" i="5" s="1"/>
  <c r="E28" i="5" s="1"/>
  <c r="F28" i="5" s="1"/>
  <c r="G28" i="5" s="1"/>
  <c r="H28" i="5" s="1"/>
  <c r="I28" i="5" s="1"/>
  <c r="C27" i="5"/>
  <c r="D27" i="5" s="1"/>
  <c r="E27" i="5" s="1"/>
  <c r="F27" i="5" s="1"/>
  <c r="G27" i="5" s="1"/>
  <c r="H27" i="5" s="1"/>
  <c r="I27" i="5" s="1"/>
  <c r="C26" i="5"/>
  <c r="D26" i="5" s="1"/>
  <c r="E26" i="5" s="1"/>
  <c r="F26" i="5" s="1"/>
  <c r="G26" i="5" s="1"/>
  <c r="H26" i="5" s="1"/>
  <c r="I26" i="5" s="1"/>
  <c r="C25" i="5"/>
  <c r="D25" i="5" s="1"/>
  <c r="E25" i="5" s="1"/>
  <c r="F25" i="5" s="1"/>
  <c r="G25" i="5" s="1"/>
  <c r="H25" i="5" s="1"/>
  <c r="I25" i="5" s="1"/>
  <c r="C13" i="5"/>
  <c r="D13" i="5" s="1"/>
  <c r="E13" i="5" s="1"/>
  <c r="F13" i="5" s="1"/>
  <c r="G13" i="5" s="1"/>
  <c r="H13" i="5" s="1"/>
  <c r="I13" i="5" s="1"/>
  <c r="C12" i="5"/>
  <c r="D12" i="5" s="1"/>
  <c r="E12" i="5" s="1"/>
  <c r="F12" i="5" s="1"/>
  <c r="G12" i="5" s="1"/>
  <c r="H12" i="5" s="1"/>
  <c r="I12" i="5" s="1"/>
  <c r="C14" i="5"/>
  <c r="D14" i="5" s="1"/>
  <c r="E14" i="5" s="1"/>
  <c r="F14" i="5" s="1"/>
  <c r="G14" i="5" s="1"/>
  <c r="H14" i="5" s="1"/>
  <c r="I14" i="5" s="1"/>
  <c r="D11" i="5"/>
  <c r="E11" i="5" s="1"/>
  <c r="F11" i="5" s="1"/>
  <c r="G11" i="5" s="1"/>
  <c r="H11" i="5" s="1"/>
  <c r="I11" i="5" s="1"/>
  <c r="AG56" i="4" l="1"/>
  <c r="AG29" i="4"/>
  <c r="AH29" i="4"/>
  <c r="AC21" i="5"/>
  <c r="AG21" i="5"/>
  <c r="AC7" i="5"/>
  <c r="K8" i="5"/>
  <c r="K9" i="5"/>
  <c r="I8" i="5"/>
  <c r="I9" i="5"/>
  <c r="B8" i="5"/>
  <c r="B9" i="5"/>
  <c r="C8" i="5"/>
  <c r="C9" i="5"/>
  <c r="S8" i="5"/>
  <c r="S9" i="5"/>
  <c r="J8" i="5"/>
  <c r="J9" i="5"/>
  <c r="O8" i="5"/>
  <c r="O9" i="5"/>
  <c r="G8" i="5"/>
  <c r="G9" i="5"/>
  <c r="Z8" i="5"/>
  <c r="Z9" i="5"/>
  <c r="R8" i="5"/>
  <c r="R9" i="5"/>
  <c r="Y9" i="5"/>
  <c r="Y8" i="5"/>
  <c r="AE7" i="5"/>
  <c r="Q9" i="5"/>
  <c r="Q8" i="5"/>
  <c r="X8" i="5"/>
  <c r="X9" i="5"/>
  <c r="H8" i="5"/>
  <c r="H9" i="5"/>
  <c r="W8" i="5"/>
  <c r="W9" i="5"/>
  <c r="AG7" i="5"/>
  <c r="V8" i="5"/>
  <c r="V9" i="5"/>
  <c r="N8" i="5"/>
  <c r="N9" i="5"/>
  <c r="F8" i="5"/>
  <c r="F9" i="5"/>
  <c r="U8" i="5"/>
  <c r="U9" i="5"/>
  <c r="M8" i="5"/>
  <c r="M9" i="5"/>
  <c r="E8" i="5"/>
  <c r="E9" i="5"/>
  <c r="P8" i="5"/>
  <c r="P9" i="5"/>
  <c r="T8" i="5"/>
  <c r="T9" i="5"/>
  <c r="L8" i="5"/>
  <c r="L9" i="5"/>
  <c r="D8" i="5"/>
  <c r="D9" i="5"/>
  <c r="J14" i="5"/>
  <c r="K14" i="5" s="1"/>
  <c r="AB14" i="5"/>
  <c r="AK7" i="5"/>
  <c r="AJ7" i="5"/>
  <c r="AK21" i="5"/>
  <c r="AJ21" i="5"/>
  <c r="J11" i="5"/>
  <c r="K11" i="5" s="1"/>
  <c r="AB11" i="5"/>
  <c r="AD21" i="5"/>
  <c r="AD7" i="5"/>
  <c r="J13" i="5"/>
  <c r="K13" i="5" s="1"/>
  <c r="AB13" i="5"/>
  <c r="J26" i="5"/>
  <c r="K26" i="5" s="1"/>
  <c r="AB26" i="5"/>
  <c r="J12" i="5"/>
  <c r="K12" i="5" s="1"/>
  <c r="AB12" i="5"/>
  <c r="AB7" i="5"/>
  <c r="J25" i="5"/>
  <c r="K25" i="5" s="1"/>
  <c r="AB25" i="5"/>
  <c r="J27" i="5"/>
  <c r="K27" i="5" s="1"/>
  <c r="AB27" i="5"/>
  <c r="AF7" i="5"/>
  <c r="AF21" i="5"/>
  <c r="AH7" i="5"/>
  <c r="AI7" i="5"/>
  <c r="AI21" i="5"/>
  <c r="AH21" i="5"/>
  <c r="J28" i="5"/>
  <c r="K28" i="5" s="1"/>
  <c r="AB28" i="5"/>
  <c r="C29" i="5"/>
  <c r="D29" i="5" s="1"/>
  <c r="E29" i="5" s="1"/>
  <c r="F29" i="5" s="1"/>
  <c r="G29" i="5" s="1"/>
  <c r="H29" i="5" s="1"/>
  <c r="I29" i="5" s="1"/>
  <c r="U30" i="4"/>
  <c r="AE29" i="4"/>
  <c r="U57" i="4"/>
  <c r="AE56" i="4"/>
  <c r="N57" i="4"/>
  <c r="Z56" i="4"/>
  <c r="N30" i="4"/>
  <c r="Z29" i="4"/>
  <c r="R30" i="4"/>
  <c r="AA29" i="4"/>
  <c r="AA56" i="4"/>
  <c r="N27" i="4"/>
  <c r="Y27" i="4"/>
  <c r="M57" i="4"/>
  <c r="Y56" i="4"/>
  <c r="N55" i="4"/>
  <c r="Y55" i="4"/>
  <c r="M30" i="4"/>
  <c r="Y29" i="4"/>
  <c r="V21" i="4"/>
  <c r="N54" i="4"/>
  <c r="Y54" i="4"/>
  <c r="N28" i="4"/>
  <c r="Y28" i="4"/>
  <c r="V30" i="4"/>
  <c r="AI29" i="4"/>
  <c r="C15" i="5"/>
  <c r="D15" i="5" s="1"/>
  <c r="E15" i="5" s="1"/>
  <c r="F15" i="5" s="1"/>
  <c r="G15" i="5" s="1"/>
  <c r="H15" i="5" s="1"/>
  <c r="I15" i="5" s="1"/>
  <c r="C70" i="1"/>
  <c r="C85" i="4"/>
  <c r="D85" i="4" s="1"/>
  <c r="E85" i="4" s="1"/>
  <c r="F85" i="4" s="1"/>
  <c r="G85" i="4" s="1"/>
  <c r="H85" i="4" s="1"/>
  <c r="I85" i="4" s="1"/>
  <c r="J85" i="4" s="1"/>
  <c r="K85" i="4" s="1"/>
  <c r="L85" i="4" s="1"/>
  <c r="M85" i="4" s="1"/>
  <c r="N85" i="4" s="1"/>
  <c r="O85" i="4" s="1"/>
  <c r="P85" i="4" s="1"/>
  <c r="Q85" i="4" s="1"/>
  <c r="R85" i="4" s="1"/>
  <c r="S85" i="4" s="1"/>
  <c r="T85" i="4" s="1"/>
  <c r="U85" i="4" s="1"/>
  <c r="V85" i="4" s="1"/>
  <c r="U83" i="4"/>
  <c r="G83" i="4"/>
  <c r="D69" i="4"/>
  <c r="E69" i="4" s="1"/>
  <c r="F69" i="4" s="1"/>
  <c r="G69" i="4" s="1"/>
  <c r="H69" i="4" s="1"/>
  <c r="I69" i="4" s="1"/>
  <c r="J69" i="4" s="1"/>
  <c r="K69" i="4" s="1"/>
  <c r="L69" i="4" s="1"/>
  <c r="M69" i="4" s="1"/>
  <c r="N69" i="4" s="1"/>
  <c r="O69" i="4" s="1"/>
  <c r="P69" i="4" s="1"/>
  <c r="Q69" i="4" s="1"/>
  <c r="R69" i="4" s="1"/>
  <c r="S69" i="4" s="1"/>
  <c r="T69" i="4" s="1"/>
  <c r="U69" i="4" s="1"/>
  <c r="V69" i="4" s="1"/>
  <c r="D17" i="4"/>
  <c r="E17" i="4" s="1"/>
  <c r="F17" i="4" s="1"/>
  <c r="G17" i="4" s="1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G67" i="4"/>
  <c r="U67" i="4"/>
  <c r="D44" i="4"/>
  <c r="E44" i="4" s="1"/>
  <c r="F44" i="4" s="1"/>
  <c r="G44" i="4" s="1"/>
  <c r="H44" i="4" s="1"/>
  <c r="I44" i="4" s="1"/>
  <c r="J44" i="4" s="1"/>
  <c r="K44" i="4" s="1"/>
  <c r="L44" i="4" s="1"/>
  <c r="M44" i="4" s="1"/>
  <c r="N44" i="4" s="1"/>
  <c r="O44" i="4" s="1"/>
  <c r="P44" i="4" s="1"/>
  <c r="Q44" i="4" s="1"/>
  <c r="R44" i="4" s="1"/>
  <c r="S44" i="4" s="1"/>
  <c r="T44" i="4" s="1"/>
  <c r="U44" i="4" s="1"/>
  <c r="V44" i="4" s="1"/>
  <c r="C14" i="4"/>
  <c r="C18" i="4" s="1"/>
  <c r="D41" i="4"/>
  <c r="E41" i="4"/>
  <c r="F41" i="4"/>
  <c r="G41" i="4"/>
  <c r="H15" i="4"/>
  <c r="I15" i="4"/>
  <c r="J42" i="4"/>
  <c r="K42" i="4"/>
  <c r="L41" i="4"/>
  <c r="M41" i="4"/>
  <c r="N41" i="4"/>
  <c r="O41" i="4"/>
  <c r="P15" i="4"/>
  <c r="Q15" i="4"/>
  <c r="R42" i="4"/>
  <c r="S14" i="4"/>
  <c r="T41" i="4"/>
  <c r="B42" i="4"/>
  <c r="D34" i="1"/>
  <c r="D35" i="1"/>
  <c r="C61" i="1"/>
  <c r="C30" i="1"/>
  <c r="L28" i="5" l="1"/>
  <c r="M28" i="5" s="1"/>
  <c r="N28" i="5" s="1"/>
  <c r="O28" i="5" s="1"/>
  <c r="P28" i="5" s="1"/>
  <c r="AC28" i="5"/>
  <c r="L13" i="5"/>
  <c r="M13" i="5" s="1"/>
  <c r="N13" i="5" s="1"/>
  <c r="O13" i="5" s="1"/>
  <c r="P13" i="5" s="1"/>
  <c r="AC13" i="5"/>
  <c r="L12" i="5"/>
  <c r="M12" i="5" s="1"/>
  <c r="N12" i="5" s="1"/>
  <c r="O12" i="5" s="1"/>
  <c r="P12" i="5" s="1"/>
  <c r="AC12" i="5"/>
  <c r="L25" i="5"/>
  <c r="M25" i="5" s="1"/>
  <c r="N25" i="5" s="1"/>
  <c r="O25" i="5" s="1"/>
  <c r="P25" i="5" s="1"/>
  <c r="AC25" i="5"/>
  <c r="L11" i="5"/>
  <c r="M11" i="5" s="1"/>
  <c r="N11" i="5" s="1"/>
  <c r="O11" i="5" s="1"/>
  <c r="P11" i="5" s="1"/>
  <c r="AC11" i="5"/>
  <c r="L26" i="5"/>
  <c r="M26" i="5" s="1"/>
  <c r="N26" i="5" s="1"/>
  <c r="O26" i="5" s="1"/>
  <c r="P26" i="5" s="1"/>
  <c r="AC26" i="5"/>
  <c r="L27" i="5"/>
  <c r="M27" i="5" s="1"/>
  <c r="N27" i="5" s="1"/>
  <c r="O27" i="5" s="1"/>
  <c r="P27" i="5" s="1"/>
  <c r="AC27" i="5"/>
  <c r="L14" i="5"/>
  <c r="M14" i="5" s="1"/>
  <c r="N14" i="5" s="1"/>
  <c r="O14" i="5" s="1"/>
  <c r="P14" i="5" s="1"/>
  <c r="AC14" i="5"/>
  <c r="AB29" i="5"/>
  <c r="J29" i="5"/>
  <c r="K29" i="5" s="1"/>
  <c r="J15" i="5"/>
  <c r="K15" i="5" s="1"/>
  <c r="AB15" i="5"/>
  <c r="O27" i="4"/>
  <c r="P27" i="4" s="1"/>
  <c r="Q27" i="4" s="1"/>
  <c r="R27" i="4" s="1"/>
  <c r="AB27" i="4" s="1"/>
  <c r="Z27" i="4"/>
  <c r="O55" i="4"/>
  <c r="P55" i="4" s="1"/>
  <c r="Q55" i="4" s="1"/>
  <c r="R55" i="4" s="1"/>
  <c r="AB55" i="4" s="1"/>
  <c r="Z55" i="4"/>
  <c r="O28" i="4"/>
  <c r="P28" i="4" s="1"/>
  <c r="Q28" i="4" s="1"/>
  <c r="R28" i="4" s="1"/>
  <c r="AB28" i="4" s="1"/>
  <c r="Z28" i="4"/>
  <c r="O54" i="4"/>
  <c r="P54" i="4" s="1"/>
  <c r="Q54" i="4" s="1"/>
  <c r="R54" i="4" s="1"/>
  <c r="AB54" i="4" s="1"/>
  <c r="Z54" i="4"/>
  <c r="D67" i="4"/>
  <c r="D83" i="4"/>
  <c r="L83" i="4"/>
  <c r="T67" i="4"/>
  <c r="O83" i="4"/>
  <c r="S67" i="4"/>
  <c r="T83" i="4"/>
  <c r="C67" i="4"/>
  <c r="C70" i="4" s="1"/>
  <c r="L67" i="4"/>
  <c r="K67" i="4"/>
  <c r="R67" i="4"/>
  <c r="J67" i="4"/>
  <c r="H83" i="4"/>
  <c r="P83" i="4"/>
  <c r="Q67" i="4"/>
  <c r="I67" i="4"/>
  <c r="I83" i="4"/>
  <c r="Q83" i="4"/>
  <c r="P67" i="4"/>
  <c r="H67" i="4"/>
  <c r="J83" i="4"/>
  <c r="R83" i="4"/>
  <c r="N83" i="4"/>
  <c r="O67" i="4"/>
  <c r="C83" i="4"/>
  <c r="C86" i="4" s="1"/>
  <c r="K83" i="4"/>
  <c r="S83" i="4"/>
  <c r="F83" i="4"/>
  <c r="N67" i="4"/>
  <c r="F67" i="4"/>
  <c r="M67" i="4"/>
  <c r="E67" i="4"/>
  <c r="E83" i="4"/>
  <c r="M83" i="4"/>
  <c r="U42" i="4"/>
  <c r="U15" i="4"/>
  <c r="M15" i="4"/>
  <c r="M14" i="4"/>
  <c r="T14" i="4"/>
  <c r="N15" i="4"/>
  <c r="L14" i="4"/>
  <c r="L15" i="4"/>
  <c r="D14" i="4"/>
  <c r="D18" i="4" s="1"/>
  <c r="J14" i="4"/>
  <c r="D42" i="4"/>
  <c r="D47" i="4" s="1"/>
  <c r="D48" i="4" s="1"/>
  <c r="E14" i="4"/>
  <c r="L42" i="4"/>
  <c r="L47" i="4" s="1"/>
  <c r="L48" i="4" s="1"/>
  <c r="R14" i="4"/>
  <c r="K41" i="4"/>
  <c r="K47" i="4" s="1"/>
  <c r="K48" i="4" s="1"/>
  <c r="F15" i="4"/>
  <c r="Q41" i="4"/>
  <c r="M42" i="4"/>
  <c r="M47" i="4" s="1"/>
  <c r="C42" i="4"/>
  <c r="C46" i="4" s="1"/>
  <c r="S15" i="4"/>
  <c r="E15" i="4"/>
  <c r="R41" i="4"/>
  <c r="R47" i="4" s="1"/>
  <c r="AH47" i="4" s="1"/>
  <c r="S42" i="4"/>
  <c r="C15" i="4"/>
  <c r="C20" i="4" s="1"/>
  <c r="C21" i="4" s="1"/>
  <c r="G15" i="4"/>
  <c r="K14" i="4"/>
  <c r="O15" i="4"/>
  <c r="D15" i="4"/>
  <c r="S41" i="4"/>
  <c r="T42" i="4"/>
  <c r="T47" i="4" s="1"/>
  <c r="T48" i="4" s="1"/>
  <c r="C41" i="4"/>
  <c r="I41" i="4"/>
  <c r="E42" i="4"/>
  <c r="E47" i="4" s="1"/>
  <c r="E48" i="4" s="1"/>
  <c r="K15" i="4"/>
  <c r="J41" i="4"/>
  <c r="J47" i="4" s="1"/>
  <c r="J48" i="4" s="1"/>
  <c r="H41" i="4"/>
  <c r="N42" i="4"/>
  <c r="N47" i="4" s="1"/>
  <c r="I14" i="4"/>
  <c r="I20" i="4" s="1"/>
  <c r="I21" i="4" s="1"/>
  <c r="G42" i="4"/>
  <c r="G47" i="4" s="1"/>
  <c r="G48" i="4" s="1"/>
  <c r="H14" i="4"/>
  <c r="H20" i="4" s="1"/>
  <c r="H21" i="4" s="1"/>
  <c r="H42" i="4"/>
  <c r="P42" i="4"/>
  <c r="O14" i="4"/>
  <c r="G14" i="4"/>
  <c r="R15" i="4"/>
  <c r="J15" i="4"/>
  <c r="I42" i="4"/>
  <c r="Q42" i="4"/>
  <c r="F42" i="4"/>
  <c r="F47" i="4" s="1"/>
  <c r="F48" i="4" s="1"/>
  <c r="Q14" i="4"/>
  <c r="Q20" i="4" s="1"/>
  <c r="Q21" i="4" s="1"/>
  <c r="O42" i="4"/>
  <c r="O47" i="4" s="1"/>
  <c r="O48" i="4" s="1"/>
  <c r="P14" i="4"/>
  <c r="P20" i="4" s="1"/>
  <c r="P21" i="4" s="1"/>
  <c r="N14" i="4"/>
  <c r="F14" i="4"/>
  <c r="P41" i="4"/>
  <c r="D20" i="1"/>
  <c r="W79" i="1"/>
  <c r="P81" i="1"/>
  <c r="P83" i="1" s="1"/>
  <c r="W70" i="1"/>
  <c r="D39" i="1"/>
  <c r="C34" i="1"/>
  <c r="E25" i="1"/>
  <c r="E32" i="1" s="1"/>
  <c r="E34" i="1" s="1"/>
  <c r="F25" i="1"/>
  <c r="F32" i="1" s="1"/>
  <c r="F34" i="1" s="1"/>
  <c r="G25" i="1"/>
  <c r="G32" i="1" s="1"/>
  <c r="G34" i="1" s="1"/>
  <c r="H25" i="1"/>
  <c r="H32" i="1" s="1"/>
  <c r="H34" i="1" s="1"/>
  <c r="I25" i="1"/>
  <c r="I32" i="1" s="1"/>
  <c r="I34" i="1" s="1"/>
  <c r="J25" i="1"/>
  <c r="J32" i="1" s="1"/>
  <c r="J34" i="1" s="1"/>
  <c r="K25" i="1"/>
  <c r="K32" i="1" s="1"/>
  <c r="K34" i="1" s="1"/>
  <c r="L25" i="1"/>
  <c r="L32" i="1" s="1"/>
  <c r="L34" i="1" s="1"/>
  <c r="M25" i="1"/>
  <c r="M32" i="1" s="1"/>
  <c r="M34" i="1" s="1"/>
  <c r="N25" i="1"/>
  <c r="N32" i="1" s="1"/>
  <c r="N34" i="1" s="1"/>
  <c r="O25" i="1"/>
  <c r="O32" i="1" s="1"/>
  <c r="O34" i="1" s="1"/>
  <c r="P25" i="1"/>
  <c r="P32" i="1" s="1"/>
  <c r="P34" i="1" s="1"/>
  <c r="Q25" i="1"/>
  <c r="Q32" i="1" s="1"/>
  <c r="Q34" i="1" s="1"/>
  <c r="R25" i="1"/>
  <c r="R32" i="1" s="1"/>
  <c r="R34" i="1" s="1"/>
  <c r="S25" i="1"/>
  <c r="S32" i="1" s="1"/>
  <c r="S34" i="1" s="1"/>
  <c r="T25" i="1"/>
  <c r="T32" i="1" s="1"/>
  <c r="T34" i="1" s="1"/>
  <c r="U25" i="1"/>
  <c r="U32" i="1" s="1"/>
  <c r="U34" i="1" s="1"/>
  <c r="V32" i="1"/>
  <c r="V34" i="1" s="1"/>
  <c r="W32" i="1"/>
  <c r="W34" i="1" s="1"/>
  <c r="D25" i="1"/>
  <c r="D32" i="1" s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D12" i="1"/>
  <c r="Q25" i="5" l="1"/>
  <c r="AD25" i="5"/>
  <c r="Q12" i="5"/>
  <c r="AD12" i="5"/>
  <c r="Q14" i="5"/>
  <c r="AD14" i="5"/>
  <c r="Q27" i="5"/>
  <c r="AD27" i="5"/>
  <c r="Q26" i="5"/>
  <c r="AD26" i="5"/>
  <c r="Q13" i="5"/>
  <c r="AD13" i="5"/>
  <c r="Q11" i="5"/>
  <c r="AD11" i="5"/>
  <c r="Q28" i="5"/>
  <c r="AD28" i="5"/>
  <c r="L15" i="5"/>
  <c r="M15" i="5" s="1"/>
  <c r="N15" i="5" s="1"/>
  <c r="O15" i="5" s="1"/>
  <c r="P15" i="5" s="1"/>
  <c r="AC15" i="5"/>
  <c r="L29" i="5"/>
  <c r="M29" i="5" s="1"/>
  <c r="N29" i="5" s="1"/>
  <c r="O29" i="5" s="1"/>
  <c r="P29" i="5" s="1"/>
  <c r="AC29" i="5"/>
  <c r="O20" i="4"/>
  <c r="O21" i="4" s="1"/>
  <c r="S54" i="4"/>
  <c r="AA54" i="4"/>
  <c r="R48" i="4"/>
  <c r="AA47" i="4"/>
  <c r="S55" i="4"/>
  <c r="AA55" i="4"/>
  <c r="N48" i="4"/>
  <c r="Z47" i="4"/>
  <c r="S28" i="4"/>
  <c r="AA28" i="4"/>
  <c r="S27" i="4"/>
  <c r="AA27" i="4"/>
  <c r="M48" i="4"/>
  <c r="B47" i="4"/>
  <c r="AB47" i="4" s="1"/>
  <c r="C45" i="4"/>
  <c r="E18" i="4"/>
  <c r="F18" i="4" s="1"/>
  <c r="G18" i="4" s="1"/>
  <c r="H18" i="4" s="1"/>
  <c r="I18" i="4" s="1"/>
  <c r="J18" i="4" s="1"/>
  <c r="K18" i="4" s="1"/>
  <c r="L18" i="4" s="1"/>
  <c r="M18" i="4" s="1"/>
  <c r="S20" i="4"/>
  <c r="S21" i="4" s="1"/>
  <c r="U20" i="4"/>
  <c r="U47" i="4"/>
  <c r="D70" i="4"/>
  <c r="E70" i="4" s="1"/>
  <c r="F70" i="4" s="1"/>
  <c r="G70" i="4" s="1"/>
  <c r="H70" i="4" s="1"/>
  <c r="I70" i="4" s="1"/>
  <c r="J70" i="4" s="1"/>
  <c r="K70" i="4" s="1"/>
  <c r="L70" i="4" s="1"/>
  <c r="M70" i="4" s="1"/>
  <c r="N70" i="4" s="1"/>
  <c r="O70" i="4" s="1"/>
  <c r="P70" i="4" s="1"/>
  <c r="Q70" i="4" s="1"/>
  <c r="R70" i="4" s="1"/>
  <c r="S70" i="4" s="1"/>
  <c r="T70" i="4" s="1"/>
  <c r="U70" i="4" s="1"/>
  <c r="V70" i="4" s="1"/>
  <c r="P47" i="4"/>
  <c r="P48" i="4" s="1"/>
  <c r="D86" i="4"/>
  <c r="E86" i="4" s="1"/>
  <c r="F86" i="4" s="1"/>
  <c r="G86" i="4" s="1"/>
  <c r="H86" i="4" s="1"/>
  <c r="I86" i="4" s="1"/>
  <c r="J86" i="4" s="1"/>
  <c r="K86" i="4" s="1"/>
  <c r="L86" i="4" s="1"/>
  <c r="M86" i="4" s="1"/>
  <c r="S47" i="4"/>
  <c r="S48" i="4" s="1"/>
  <c r="H47" i="4"/>
  <c r="H48" i="4" s="1"/>
  <c r="G20" i="4"/>
  <c r="G21" i="4" s="1"/>
  <c r="M20" i="4"/>
  <c r="T20" i="4"/>
  <c r="T21" i="4" s="1"/>
  <c r="Q47" i="4"/>
  <c r="Q48" i="4" s="1"/>
  <c r="N20" i="4"/>
  <c r="I47" i="4"/>
  <c r="I48" i="4" s="1"/>
  <c r="C47" i="4"/>
  <c r="C48" i="4" s="1"/>
  <c r="E20" i="4"/>
  <c r="E21" i="4" s="1"/>
  <c r="K20" i="4"/>
  <c r="K21" i="4" s="1"/>
  <c r="J20" i="4"/>
  <c r="J21" i="4" s="1"/>
  <c r="F20" i="4"/>
  <c r="F21" i="4" s="1"/>
  <c r="D20" i="4"/>
  <c r="D21" i="4" s="1"/>
  <c r="B20" i="4"/>
  <c r="AI20" i="4" s="1"/>
  <c r="L20" i="4"/>
  <c r="L21" i="4" s="1"/>
  <c r="R20" i="4"/>
  <c r="C19" i="4"/>
  <c r="D19" i="4" s="1"/>
  <c r="E19" i="4" s="1"/>
  <c r="F19" i="4" s="1"/>
  <c r="G19" i="4" s="1"/>
  <c r="H19" i="4" s="1"/>
  <c r="I19" i="4" s="1"/>
  <c r="J19" i="4" s="1"/>
  <c r="K19" i="4" s="1"/>
  <c r="L19" i="4" s="1"/>
  <c r="M19" i="4" s="1"/>
  <c r="D46" i="4"/>
  <c r="E46" i="4" s="1"/>
  <c r="F46" i="4" s="1"/>
  <c r="G46" i="4" s="1"/>
  <c r="H46" i="4" s="1"/>
  <c r="I46" i="4" s="1"/>
  <c r="J46" i="4" s="1"/>
  <c r="K46" i="4" s="1"/>
  <c r="L46" i="4" s="1"/>
  <c r="M46" i="4" s="1"/>
  <c r="S81" i="1"/>
  <c r="S83" i="1" s="1"/>
  <c r="R81" i="1"/>
  <c r="R83" i="1" s="1"/>
  <c r="Q81" i="1"/>
  <c r="Q83" i="1" s="1"/>
  <c r="E81" i="1"/>
  <c r="E83" i="1" s="1"/>
  <c r="G81" i="1"/>
  <c r="G83" i="1" s="1"/>
  <c r="F81" i="1"/>
  <c r="F83" i="1" s="1"/>
  <c r="S91" i="1"/>
  <c r="S93" i="1" s="1"/>
  <c r="D81" i="1"/>
  <c r="D83" i="1" s="1"/>
  <c r="W91" i="1"/>
  <c r="W93" i="1" s="1"/>
  <c r="V91" i="1"/>
  <c r="V93" i="1" s="1"/>
  <c r="U81" i="1"/>
  <c r="U83" i="1" s="1"/>
  <c r="U91" i="1"/>
  <c r="U93" i="1" s="1"/>
  <c r="W81" i="1"/>
  <c r="W83" i="1" s="1"/>
  <c r="V81" i="1"/>
  <c r="V83" i="1" s="1"/>
  <c r="T81" i="1"/>
  <c r="T83" i="1" s="1"/>
  <c r="T91" i="1"/>
  <c r="T93" i="1" s="1"/>
  <c r="T94" i="1" s="1"/>
  <c r="O81" i="1"/>
  <c r="O83" i="1" s="1"/>
  <c r="J81" i="1"/>
  <c r="J83" i="1" s="1"/>
  <c r="I81" i="1"/>
  <c r="I83" i="1" s="1"/>
  <c r="N81" i="1"/>
  <c r="N83" i="1" s="1"/>
  <c r="M81" i="1"/>
  <c r="M83" i="1" s="1"/>
  <c r="L81" i="1"/>
  <c r="L83" i="1" s="1"/>
  <c r="K81" i="1"/>
  <c r="K83" i="1" s="1"/>
  <c r="C81" i="1"/>
  <c r="C83" i="1" s="1"/>
  <c r="D84" i="1" s="1"/>
  <c r="E84" i="1" s="1"/>
  <c r="F84" i="1" s="1"/>
  <c r="H81" i="1"/>
  <c r="H83" i="1" s="1"/>
  <c r="R72" i="1"/>
  <c r="R74" i="1" s="1"/>
  <c r="Q72" i="1"/>
  <c r="Q74" i="1" s="1"/>
  <c r="S72" i="1"/>
  <c r="S74" i="1" s="1"/>
  <c r="O72" i="1"/>
  <c r="O74" i="1" s="1"/>
  <c r="N72" i="1"/>
  <c r="N74" i="1" s="1"/>
  <c r="P72" i="1"/>
  <c r="P74" i="1" s="1"/>
  <c r="M72" i="1"/>
  <c r="M74" i="1" s="1"/>
  <c r="L72" i="1"/>
  <c r="L74" i="1" s="1"/>
  <c r="K72" i="1"/>
  <c r="K74" i="1" s="1"/>
  <c r="J72" i="1"/>
  <c r="J74" i="1" s="1"/>
  <c r="I72" i="1"/>
  <c r="C72" i="1"/>
  <c r="C74" i="1" s="1"/>
  <c r="H72" i="1"/>
  <c r="W72" i="1"/>
  <c r="W74" i="1" s="1"/>
  <c r="G72" i="1"/>
  <c r="V72" i="1"/>
  <c r="V74" i="1" s="1"/>
  <c r="F72" i="1"/>
  <c r="U72" i="1"/>
  <c r="U74" i="1" s="1"/>
  <c r="E72" i="1"/>
  <c r="T72" i="1"/>
  <c r="T74" i="1" s="1"/>
  <c r="D72" i="1"/>
  <c r="C63" i="1"/>
  <c r="G61" i="1"/>
  <c r="G63" i="1" s="1"/>
  <c r="R61" i="1"/>
  <c r="R63" i="1" s="1"/>
  <c r="F61" i="1"/>
  <c r="S61" i="1"/>
  <c r="S63" i="1" s="1"/>
  <c r="C52" i="1"/>
  <c r="C54" i="1" s="1"/>
  <c r="Q61" i="1"/>
  <c r="Q63" i="1" s="1"/>
  <c r="D61" i="1"/>
  <c r="D52" i="1"/>
  <c r="D54" i="1" s="1"/>
  <c r="O61" i="1"/>
  <c r="O63" i="1" s="1"/>
  <c r="E52" i="1"/>
  <c r="E54" i="1" s="1"/>
  <c r="P61" i="1"/>
  <c r="P63" i="1" s="1"/>
  <c r="W52" i="1"/>
  <c r="W54" i="1" s="1"/>
  <c r="N61" i="1"/>
  <c r="N63" i="1" s="1"/>
  <c r="E61" i="1"/>
  <c r="U52" i="1"/>
  <c r="U54" i="1" s="1"/>
  <c r="L61" i="1"/>
  <c r="L63" i="1" s="1"/>
  <c r="V61" i="1"/>
  <c r="V63" i="1" s="1"/>
  <c r="U61" i="1"/>
  <c r="U63" i="1" s="1"/>
  <c r="T52" i="1"/>
  <c r="T54" i="1" s="1"/>
  <c r="K61" i="1"/>
  <c r="K63" i="1" s="1"/>
  <c r="H61" i="1"/>
  <c r="H63" i="1" s="1"/>
  <c r="T61" i="1"/>
  <c r="T63" i="1" s="1"/>
  <c r="V52" i="1"/>
  <c r="V54" i="1" s="1"/>
  <c r="S52" i="1"/>
  <c r="S54" i="1" s="1"/>
  <c r="J61" i="1"/>
  <c r="J63" i="1" s="1"/>
  <c r="W61" i="1"/>
  <c r="W63" i="1" s="1"/>
  <c r="M61" i="1"/>
  <c r="M63" i="1" s="1"/>
  <c r="J52" i="1"/>
  <c r="J54" i="1" s="1"/>
  <c r="I61" i="1"/>
  <c r="I63" i="1" s="1"/>
  <c r="I52" i="1"/>
  <c r="I54" i="1" s="1"/>
  <c r="R52" i="1"/>
  <c r="R54" i="1" s="1"/>
  <c r="H52" i="1"/>
  <c r="H54" i="1" s="1"/>
  <c r="G52" i="1"/>
  <c r="G54" i="1" s="1"/>
  <c r="F52" i="1"/>
  <c r="F54" i="1" s="1"/>
  <c r="Q52" i="1"/>
  <c r="Q54" i="1" s="1"/>
  <c r="O52" i="1"/>
  <c r="O54" i="1" s="1"/>
  <c r="P52" i="1"/>
  <c r="P54" i="1" s="1"/>
  <c r="N52" i="1"/>
  <c r="N54" i="1" s="1"/>
  <c r="M52" i="1"/>
  <c r="M54" i="1" s="1"/>
  <c r="L52" i="1"/>
  <c r="L54" i="1" s="1"/>
  <c r="K52" i="1"/>
  <c r="K54" i="1" s="1"/>
  <c r="D42" i="1"/>
  <c r="D44" i="1" s="1"/>
  <c r="V42" i="1"/>
  <c r="V44" i="1" s="1"/>
  <c r="U42" i="1"/>
  <c r="U44" i="1" s="1"/>
  <c r="W42" i="1"/>
  <c r="W44" i="1" s="1"/>
  <c r="T42" i="1"/>
  <c r="T44" i="1" s="1"/>
  <c r="C42" i="1"/>
  <c r="C44" i="1" s="1"/>
  <c r="R42" i="1"/>
  <c r="R44" i="1" s="1"/>
  <c r="I42" i="1"/>
  <c r="I44" i="1" s="1"/>
  <c r="H42" i="1"/>
  <c r="H44" i="1" s="1"/>
  <c r="G42" i="1"/>
  <c r="G44" i="1" s="1"/>
  <c r="F42" i="1"/>
  <c r="F44" i="1" s="1"/>
  <c r="S42" i="1"/>
  <c r="S44" i="1" s="1"/>
  <c r="E42" i="1"/>
  <c r="E44" i="1" s="1"/>
  <c r="P42" i="1"/>
  <c r="P44" i="1" s="1"/>
  <c r="N42" i="1"/>
  <c r="N44" i="1" s="1"/>
  <c r="Q42" i="1"/>
  <c r="Q44" i="1" s="1"/>
  <c r="O42" i="1"/>
  <c r="O44" i="1" s="1"/>
  <c r="M42" i="1"/>
  <c r="M44" i="1" s="1"/>
  <c r="L42" i="1"/>
  <c r="L44" i="1" s="1"/>
  <c r="K42" i="1"/>
  <c r="K44" i="1" s="1"/>
  <c r="J42" i="1"/>
  <c r="J44" i="1" s="1"/>
  <c r="E35" i="1"/>
  <c r="F35" i="1" s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D33" i="1"/>
  <c r="E33" i="1" s="1"/>
  <c r="F33" i="1" s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D29" i="1"/>
  <c r="E29" i="1" s="1"/>
  <c r="AB20" i="4" l="1"/>
  <c r="AH20" i="4"/>
  <c r="R26" i="5"/>
  <c r="S26" i="5" s="1"/>
  <c r="T26" i="5" s="1"/>
  <c r="U26" i="5" s="1"/>
  <c r="AE26" i="5"/>
  <c r="R28" i="5"/>
  <c r="S28" i="5" s="1"/>
  <c r="T28" i="5" s="1"/>
  <c r="U28" i="5" s="1"/>
  <c r="AE28" i="5"/>
  <c r="R27" i="5"/>
  <c r="S27" i="5" s="1"/>
  <c r="T27" i="5" s="1"/>
  <c r="U27" i="5" s="1"/>
  <c r="AE27" i="5"/>
  <c r="R25" i="5"/>
  <c r="S25" i="5" s="1"/>
  <c r="T25" i="5" s="1"/>
  <c r="U25" i="5" s="1"/>
  <c r="AE25" i="5"/>
  <c r="R11" i="5"/>
  <c r="S11" i="5" s="1"/>
  <c r="T11" i="5" s="1"/>
  <c r="U11" i="5" s="1"/>
  <c r="AE11" i="5"/>
  <c r="R14" i="5"/>
  <c r="S14" i="5" s="1"/>
  <c r="T14" i="5" s="1"/>
  <c r="U14" i="5" s="1"/>
  <c r="AE14" i="5"/>
  <c r="R13" i="5"/>
  <c r="S13" i="5" s="1"/>
  <c r="T13" i="5" s="1"/>
  <c r="U13" i="5" s="1"/>
  <c r="AE13" i="5"/>
  <c r="R12" i="5"/>
  <c r="S12" i="5" s="1"/>
  <c r="T12" i="5" s="1"/>
  <c r="U12" i="5" s="1"/>
  <c r="AE12" i="5"/>
  <c r="Q29" i="5"/>
  <c r="AD29" i="5"/>
  <c r="Q15" i="5"/>
  <c r="AD15" i="5"/>
  <c r="AF47" i="4"/>
  <c r="AG47" i="4"/>
  <c r="AF20" i="4"/>
  <c r="AG20" i="4"/>
  <c r="U48" i="4"/>
  <c r="AE47" i="4"/>
  <c r="U21" i="4"/>
  <c r="AE20" i="4"/>
  <c r="T55" i="4"/>
  <c r="U55" i="4" s="1"/>
  <c r="AC55" i="4"/>
  <c r="R21" i="4"/>
  <c r="AA20" i="4"/>
  <c r="N21" i="4"/>
  <c r="Z20" i="4"/>
  <c r="AC27" i="4"/>
  <c r="T27" i="4"/>
  <c r="U27" i="4" s="1"/>
  <c r="T28" i="4"/>
  <c r="U28" i="4" s="1"/>
  <c r="AC28" i="4"/>
  <c r="T54" i="4"/>
  <c r="U54" i="4" s="1"/>
  <c r="AC54" i="4"/>
  <c r="M21" i="4"/>
  <c r="Y20" i="4"/>
  <c r="N18" i="4"/>
  <c r="Y18" i="4"/>
  <c r="N46" i="4"/>
  <c r="Y46" i="4"/>
  <c r="B48" i="4"/>
  <c r="AI47" i="4"/>
  <c r="N19" i="4"/>
  <c r="Y19" i="4"/>
  <c r="B21" i="4"/>
  <c r="Y47" i="4"/>
  <c r="N86" i="4"/>
  <c r="O86" i="4" s="1"/>
  <c r="P86" i="4" s="1"/>
  <c r="Q86" i="4" s="1"/>
  <c r="R86" i="4" s="1"/>
  <c r="S86" i="4" s="1"/>
  <c r="T86" i="4" s="1"/>
  <c r="U86" i="4" s="1"/>
  <c r="V86" i="4" s="1"/>
  <c r="D45" i="4"/>
  <c r="G84" i="1"/>
  <c r="D82" i="1"/>
  <c r="E82" i="1" s="1"/>
  <c r="F82" i="1" s="1"/>
  <c r="G82" i="1" s="1"/>
  <c r="H82" i="1" s="1"/>
  <c r="I82" i="1"/>
  <c r="J82" i="1" s="1"/>
  <c r="K82" i="1" s="1"/>
  <c r="L82" i="1" s="1"/>
  <c r="M82" i="1" s="1"/>
  <c r="N82" i="1" s="1"/>
  <c r="O82" i="1" s="1"/>
  <c r="P82" i="1" s="1"/>
  <c r="Q82" i="1" s="1"/>
  <c r="R82" i="1" s="1"/>
  <c r="S82" i="1" s="1"/>
  <c r="T82" i="1" s="1"/>
  <c r="U82" i="1" s="1"/>
  <c r="V82" i="1" s="1"/>
  <c r="W82" i="1" s="1"/>
  <c r="T92" i="1"/>
  <c r="U92" i="1" s="1"/>
  <c r="V92" i="1" s="1"/>
  <c r="W92" i="1" s="1"/>
  <c r="U94" i="1"/>
  <c r="V94" i="1" s="1"/>
  <c r="W94" i="1" s="1"/>
  <c r="H84" i="1"/>
  <c r="I84" i="1" s="1"/>
  <c r="J84" i="1" s="1"/>
  <c r="K84" i="1" s="1"/>
  <c r="L84" i="1" s="1"/>
  <c r="M84" i="1" s="1"/>
  <c r="N84" i="1" s="1"/>
  <c r="O84" i="1" s="1"/>
  <c r="P84" i="1" s="1"/>
  <c r="Q84" i="1" s="1"/>
  <c r="R84" i="1" s="1"/>
  <c r="S84" i="1" s="1"/>
  <c r="T84" i="1" s="1"/>
  <c r="U84" i="1" s="1"/>
  <c r="V84" i="1" s="1"/>
  <c r="W84" i="1" s="1"/>
  <c r="D55" i="1"/>
  <c r="E55" i="1" s="1"/>
  <c r="F55" i="1" s="1"/>
  <c r="G55" i="1" s="1"/>
  <c r="H55" i="1" s="1"/>
  <c r="I55" i="1" s="1"/>
  <c r="J55" i="1" s="1"/>
  <c r="K55" i="1" s="1"/>
  <c r="L55" i="1" s="1"/>
  <c r="M55" i="1" s="1"/>
  <c r="N55" i="1" s="1"/>
  <c r="O55" i="1" s="1"/>
  <c r="P55" i="1" s="1"/>
  <c r="Q55" i="1" s="1"/>
  <c r="R55" i="1" s="1"/>
  <c r="S55" i="1" s="1"/>
  <c r="T55" i="1" s="1"/>
  <c r="U55" i="1" s="1"/>
  <c r="V55" i="1" s="1"/>
  <c r="W55" i="1" s="1"/>
  <c r="D73" i="1"/>
  <c r="D74" i="1"/>
  <c r="D75" i="1" s="1"/>
  <c r="I74" i="1"/>
  <c r="H74" i="1"/>
  <c r="G74" i="1"/>
  <c r="E74" i="1"/>
  <c r="E75" i="1" s="1"/>
  <c r="E73" i="1"/>
  <c r="F74" i="1"/>
  <c r="F73" i="1"/>
  <c r="G73" i="1" s="1"/>
  <c r="H73" i="1" s="1"/>
  <c r="I73" i="1" s="1"/>
  <c r="J73" i="1" s="1"/>
  <c r="K73" i="1" s="1"/>
  <c r="L73" i="1" s="1"/>
  <c r="M73" i="1" s="1"/>
  <c r="N73" i="1" s="1"/>
  <c r="O73" i="1" s="1"/>
  <c r="P73" i="1" s="1"/>
  <c r="Q73" i="1" s="1"/>
  <c r="R73" i="1" s="1"/>
  <c r="S73" i="1" s="1"/>
  <c r="T73" i="1" s="1"/>
  <c r="U73" i="1" s="1"/>
  <c r="V73" i="1" s="1"/>
  <c r="W73" i="1" s="1"/>
  <c r="D63" i="1"/>
  <c r="D64" i="1" s="1"/>
  <c r="D62" i="1"/>
  <c r="E62" i="1" s="1"/>
  <c r="F62" i="1" s="1"/>
  <c r="G62" i="1" s="1"/>
  <c r="H62" i="1" s="1"/>
  <c r="I62" i="1" s="1"/>
  <c r="J62" i="1" s="1"/>
  <c r="K62" i="1" s="1"/>
  <c r="L62" i="1" s="1"/>
  <c r="M62" i="1" s="1"/>
  <c r="N62" i="1" s="1"/>
  <c r="O62" i="1" s="1"/>
  <c r="P62" i="1" s="1"/>
  <c r="Q62" i="1" s="1"/>
  <c r="R62" i="1" s="1"/>
  <c r="S62" i="1" s="1"/>
  <c r="T62" i="1" s="1"/>
  <c r="U62" i="1" s="1"/>
  <c r="V62" i="1" s="1"/>
  <c r="W62" i="1" s="1"/>
  <c r="E63" i="1"/>
  <c r="F63" i="1"/>
  <c r="D53" i="1"/>
  <c r="E53" i="1" s="1"/>
  <c r="F53" i="1" s="1"/>
  <c r="G53" i="1" s="1"/>
  <c r="H53" i="1" s="1"/>
  <c r="I53" i="1" s="1"/>
  <c r="J53" i="1" s="1"/>
  <c r="K53" i="1" s="1"/>
  <c r="L53" i="1" s="1"/>
  <c r="M53" i="1" s="1"/>
  <c r="N53" i="1" s="1"/>
  <c r="O53" i="1" s="1"/>
  <c r="P53" i="1" s="1"/>
  <c r="Q53" i="1" s="1"/>
  <c r="R53" i="1" s="1"/>
  <c r="S53" i="1" s="1"/>
  <c r="T53" i="1" s="1"/>
  <c r="U53" i="1" s="1"/>
  <c r="V53" i="1" s="1"/>
  <c r="W53" i="1" s="1"/>
  <c r="D43" i="1"/>
  <c r="E43" i="1" s="1"/>
  <c r="F43" i="1" s="1"/>
  <c r="G43" i="1" s="1"/>
  <c r="H43" i="1" s="1"/>
  <c r="I43" i="1" s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U43" i="1" s="1"/>
  <c r="V43" i="1" s="1"/>
  <c r="W43" i="1" s="1"/>
  <c r="D45" i="1"/>
  <c r="E45" i="1" s="1"/>
  <c r="F45" i="1" s="1"/>
  <c r="G45" i="1" s="1"/>
  <c r="H45" i="1" s="1"/>
  <c r="I45" i="1" s="1"/>
  <c r="J45" i="1" s="1"/>
  <c r="K45" i="1" s="1"/>
  <c r="L45" i="1" s="1"/>
  <c r="M45" i="1" s="1"/>
  <c r="N45" i="1" s="1"/>
  <c r="O45" i="1" s="1"/>
  <c r="P45" i="1" s="1"/>
  <c r="Q45" i="1" s="1"/>
  <c r="R45" i="1" s="1"/>
  <c r="S45" i="1" s="1"/>
  <c r="T45" i="1" s="1"/>
  <c r="U45" i="1" s="1"/>
  <c r="V45" i="1" s="1"/>
  <c r="W45" i="1" s="1"/>
  <c r="V70" i="1"/>
  <c r="V79" i="1"/>
  <c r="T16" i="1"/>
  <c r="U16" i="1" s="1"/>
  <c r="V16" i="1" s="1"/>
  <c r="W16" i="1" s="1"/>
  <c r="X16" i="1" s="1"/>
  <c r="T88" i="1"/>
  <c r="U88" i="1" s="1"/>
  <c r="V88" i="1" s="1"/>
  <c r="W88" i="1" s="1"/>
  <c r="X88" i="1" s="1"/>
  <c r="T89" i="1"/>
  <c r="U89" i="1"/>
  <c r="V89" i="1"/>
  <c r="W89" i="1"/>
  <c r="X89" i="1"/>
  <c r="S8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C79" i="1"/>
  <c r="D78" i="1"/>
  <c r="E78" i="1" s="1"/>
  <c r="F78" i="1" s="1"/>
  <c r="G78" i="1" s="1"/>
  <c r="H78" i="1" s="1"/>
  <c r="I78" i="1" s="1"/>
  <c r="J78" i="1" s="1"/>
  <c r="K78" i="1" s="1"/>
  <c r="L78" i="1" s="1"/>
  <c r="M78" i="1" s="1"/>
  <c r="N78" i="1" s="1"/>
  <c r="O78" i="1" s="1"/>
  <c r="P78" i="1" s="1"/>
  <c r="Q78" i="1" s="1"/>
  <c r="R78" i="1" s="1"/>
  <c r="S78" i="1" s="1"/>
  <c r="T78" i="1" s="1"/>
  <c r="U78" i="1" s="1"/>
  <c r="V78" i="1" s="1"/>
  <c r="W78" i="1" s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D69" i="1"/>
  <c r="E69" i="1" s="1"/>
  <c r="F69" i="1" s="1"/>
  <c r="G69" i="1" s="1"/>
  <c r="H69" i="1" s="1"/>
  <c r="I69" i="1" s="1"/>
  <c r="J69" i="1" s="1"/>
  <c r="K69" i="1" s="1"/>
  <c r="L69" i="1" s="1"/>
  <c r="M69" i="1" s="1"/>
  <c r="N69" i="1" s="1"/>
  <c r="O69" i="1" s="1"/>
  <c r="P69" i="1" s="1"/>
  <c r="Q69" i="1" s="1"/>
  <c r="R69" i="1" s="1"/>
  <c r="S69" i="1" s="1"/>
  <c r="T69" i="1" s="1"/>
  <c r="U69" i="1" s="1"/>
  <c r="V69" i="1" s="1"/>
  <c r="W69" i="1" s="1"/>
  <c r="M21" i="1"/>
  <c r="T21" i="1" s="1"/>
  <c r="W21" i="1" s="1"/>
  <c r="X21" i="1" s="1"/>
  <c r="W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C59" i="1"/>
  <c r="D58" i="1"/>
  <c r="E58" i="1" s="1"/>
  <c r="F58" i="1" s="1"/>
  <c r="G58" i="1" s="1"/>
  <c r="H58" i="1" s="1"/>
  <c r="I58" i="1" s="1"/>
  <c r="J58" i="1" s="1"/>
  <c r="K58" i="1" s="1"/>
  <c r="L58" i="1" s="1"/>
  <c r="M58" i="1" s="1"/>
  <c r="N58" i="1" s="1"/>
  <c r="O58" i="1" s="1"/>
  <c r="P58" i="1" s="1"/>
  <c r="Q58" i="1" s="1"/>
  <c r="R58" i="1" s="1"/>
  <c r="S58" i="1" s="1"/>
  <c r="T58" i="1" s="1"/>
  <c r="U58" i="1" s="1"/>
  <c r="V58" i="1" s="1"/>
  <c r="W58" i="1" s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C50" i="1"/>
  <c r="D49" i="1"/>
  <c r="E49" i="1" s="1"/>
  <c r="F49" i="1" s="1"/>
  <c r="G49" i="1" s="1"/>
  <c r="H49" i="1" s="1"/>
  <c r="I49" i="1" s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T49" i="1" s="1"/>
  <c r="U49" i="1" s="1"/>
  <c r="V49" i="1" s="1"/>
  <c r="W49" i="1" s="1"/>
  <c r="E20" i="1"/>
  <c r="F20" i="1" s="1"/>
  <c r="G20" i="1" s="1"/>
  <c r="H20" i="1" s="1"/>
  <c r="I20" i="1" s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V20" i="1" s="1"/>
  <c r="W20" i="1" s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C40" i="1"/>
  <c r="D30" i="1"/>
  <c r="D31" i="1" s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E39" i="1"/>
  <c r="F39" i="1" s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U39" i="1" s="1"/>
  <c r="V39" i="1" s="1"/>
  <c r="W39" i="1" s="1"/>
  <c r="F29" i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F19" i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W19" i="1" s="1"/>
  <c r="V12" i="5" l="1"/>
  <c r="AF12" i="5"/>
  <c r="V25" i="5"/>
  <c r="AF25" i="5"/>
  <c r="V27" i="5"/>
  <c r="AF27" i="5"/>
  <c r="V14" i="5"/>
  <c r="AF14" i="5"/>
  <c r="V28" i="5"/>
  <c r="AF28" i="5"/>
  <c r="V13" i="5"/>
  <c r="AF13" i="5"/>
  <c r="V11" i="5"/>
  <c r="AF11" i="5"/>
  <c r="V26" i="5"/>
  <c r="AF26" i="5"/>
  <c r="R15" i="5"/>
  <c r="S15" i="5" s="1"/>
  <c r="T15" i="5" s="1"/>
  <c r="U15" i="5" s="1"/>
  <c r="AE15" i="5"/>
  <c r="R29" i="5"/>
  <c r="S29" i="5" s="1"/>
  <c r="T29" i="5" s="1"/>
  <c r="U29" i="5" s="1"/>
  <c r="AE29" i="5"/>
  <c r="AE27" i="4"/>
  <c r="AF27" i="4"/>
  <c r="AE54" i="4"/>
  <c r="AF54" i="4"/>
  <c r="AE28" i="4"/>
  <c r="AF28" i="4"/>
  <c r="AE55" i="4"/>
  <c r="AF55" i="4"/>
  <c r="V54" i="4"/>
  <c r="AH54" i="4" s="1"/>
  <c r="AD54" i="4"/>
  <c r="V27" i="4"/>
  <c r="AH27" i="4" s="1"/>
  <c r="AD27" i="4"/>
  <c r="V28" i="4"/>
  <c r="AH28" i="4" s="1"/>
  <c r="AD28" i="4"/>
  <c r="V55" i="4"/>
  <c r="AH55" i="4" s="1"/>
  <c r="AD55" i="4"/>
  <c r="O18" i="4"/>
  <c r="P18" i="4" s="1"/>
  <c r="Q18" i="4" s="1"/>
  <c r="R18" i="4" s="1"/>
  <c r="AB18" i="4" s="1"/>
  <c r="Z18" i="4"/>
  <c r="O19" i="4"/>
  <c r="P19" i="4" s="1"/>
  <c r="Q19" i="4" s="1"/>
  <c r="R19" i="4" s="1"/>
  <c r="Z19" i="4"/>
  <c r="O46" i="4"/>
  <c r="P46" i="4" s="1"/>
  <c r="Q46" i="4" s="1"/>
  <c r="R46" i="4" s="1"/>
  <c r="AB46" i="4" s="1"/>
  <c r="Z46" i="4"/>
  <c r="E45" i="4"/>
  <c r="E64" i="1"/>
  <c r="F64" i="1" s="1"/>
  <c r="G64" i="1" s="1"/>
  <c r="H64" i="1" s="1"/>
  <c r="I64" i="1" s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U64" i="1" s="1"/>
  <c r="V64" i="1" s="1"/>
  <c r="W64" i="1" s="1"/>
  <c r="F75" i="1"/>
  <c r="G75" i="1" s="1"/>
  <c r="H75" i="1" s="1"/>
  <c r="I75" i="1" s="1"/>
  <c r="J75" i="1" s="1"/>
  <c r="K75" i="1" s="1"/>
  <c r="L75" i="1" s="1"/>
  <c r="M75" i="1" s="1"/>
  <c r="N75" i="1" s="1"/>
  <c r="O75" i="1" s="1"/>
  <c r="P75" i="1" s="1"/>
  <c r="Q75" i="1" s="1"/>
  <c r="R75" i="1" s="1"/>
  <c r="S75" i="1" s="1"/>
  <c r="T75" i="1" s="1"/>
  <c r="U75" i="1" s="1"/>
  <c r="V75" i="1" s="1"/>
  <c r="W75" i="1" s="1"/>
  <c r="T90" i="1"/>
  <c r="U90" i="1" s="1"/>
  <c r="V90" i="1" s="1"/>
  <c r="W90" i="1" s="1"/>
  <c r="X90" i="1" s="1"/>
  <c r="D71" i="1"/>
  <c r="E71" i="1" s="1"/>
  <c r="F71" i="1" s="1"/>
  <c r="G71" i="1" s="1"/>
  <c r="H71" i="1" s="1"/>
  <c r="I71" i="1" s="1"/>
  <c r="J71" i="1" s="1"/>
  <c r="K71" i="1" s="1"/>
  <c r="L71" i="1" s="1"/>
  <c r="M71" i="1" s="1"/>
  <c r="N71" i="1" s="1"/>
  <c r="O71" i="1" s="1"/>
  <c r="P71" i="1" s="1"/>
  <c r="Q71" i="1" s="1"/>
  <c r="R71" i="1" s="1"/>
  <c r="S71" i="1" s="1"/>
  <c r="T71" i="1" s="1"/>
  <c r="U71" i="1" s="1"/>
  <c r="V71" i="1" s="1"/>
  <c r="W71" i="1" s="1"/>
  <c r="D80" i="1"/>
  <c r="E80" i="1" s="1"/>
  <c r="F80" i="1" s="1"/>
  <c r="G80" i="1" s="1"/>
  <c r="H80" i="1" s="1"/>
  <c r="I80" i="1" s="1"/>
  <c r="J80" i="1" s="1"/>
  <c r="K80" i="1" s="1"/>
  <c r="L80" i="1" s="1"/>
  <c r="M80" i="1" s="1"/>
  <c r="N80" i="1" s="1"/>
  <c r="O80" i="1" s="1"/>
  <c r="P80" i="1" s="1"/>
  <c r="Q80" i="1" s="1"/>
  <c r="R80" i="1" s="1"/>
  <c r="S80" i="1" s="1"/>
  <c r="T80" i="1" s="1"/>
  <c r="U80" i="1" s="1"/>
  <c r="V80" i="1" s="1"/>
  <c r="W80" i="1" s="1"/>
  <c r="D51" i="1"/>
  <c r="E51" i="1" s="1"/>
  <c r="F51" i="1" s="1"/>
  <c r="G51" i="1" s="1"/>
  <c r="H51" i="1" s="1"/>
  <c r="I51" i="1" s="1"/>
  <c r="J51" i="1" s="1"/>
  <c r="K51" i="1" s="1"/>
  <c r="L51" i="1" s="1"/>
  <c r="M51" i="1" s="1"/>
  <c r="N51" i="1" s="1"/>
  <c r="O51" i="1" s="1"/>
  <c r="P51" i="1" s="1"/>
  <c r="Q51" i="1" s="1"/>
  <c r="R51" i="1" s="1"/>
  <c r="S51" i="1" s="1"/>
  <c r="T51" i="1" s="1"/>
  <c r="U51" i="1" s="1"/>
  <c r="V51" i="1" s="1"/>
  <c r="W51" i="1" s="1"/>
  <c r="D60" i="1"/>
  <c r="E60" i="1" s="1"/>
  <c r="F60" i="1" s="1"/>
  <c r="G60" i="1" s="1"/>
  <c r="H60" i="1" s="1"/>
  <c r="I60" i="1" s="1"/>
  <c r="J60" i="1" s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U60" i="1" s="1"/>
  <c r="V60" i="1" s="1"/>
  <c r="W60" i="1" s="1"/>
  <c r="D41" i="1"/>
  <c r="E41" i="1" s="1"/>
  <c r="F41" i="1" s="1"/>
  <c r="G41" i="1" s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U41" i="1" s="1"/>
  <c r="V41" i="1" s="1"/>
  <c r="W41" i="1" s="1"/>
  <c r="E31" i="1"/>
  <c r="F31" i="1" s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D10" i="1"/>
  <c r="E10" i="1"/>
  <c r="F10" i="1"/>
  <c r="G10" i="1"/>
  <c r="C10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C8" i="1"/>
  <c r="AA18" i="4" l="1"/>
  <c r="S18" i="4"/>
  <c r="AC18" i="4" s="1"/>
  <c r="W26" i="5"/>
  <c r="X26" i="5" s="1"/>
  <c r="AG26" i="5"/>
  <c r="W13" i="5"/>
  <c r="X13" i="5" s="1"/>
  <c r="AG13" i="5"/>
  <c r="W25" i="5"/>
  <c r="X25" i="5" s="1"/>
  <c r="AG25" i="5"/>
  <c r="W11" i="5"/>
  <c r="X11" i="5" s="1"/>
  <c r="AG11" i="5"/>
  <c r="W14" i="5"/>
  <c r="X14" i="5" s="1"/>
  <c r="AG14" i="5"/>
  <c r="W27" i="5"/>
  <c r="X27" i="5" s="1"/>
  <c r="AG27" i="5"/>
  <c r="W28" i="5"/>
  <c r="X28" i="5" s="1"/>
  <c r="AG28" i="5"/>
  <c r="W12" i="5"/>
  <c r="X12" i="5" s="1"/>
  <c r="AG12" i="5"/>
  <c r="V29" i="5"/>
  <c r="AF29" i="5"/>
  <c r="V15" i="5"/>
  <c r="AF15" i="5"/>
  <c r="AI28" i="4"/>
  <c r="AG28" i="4"/>
  <c r="AA19" i="4"/>
  <c r="AB19" i="4"/>
  <c r="AI27" i="4"/>
  <c r="AG27" i="4"/>
  <c r="AG55" i="4"/>
  <c r="AI55" i="4"/>
  <c r="S19" i="4"/>
  <c r="T19" i="4" s="1"/>
  <c r="U19" i="4" s="1"/>
  <c r="AG54" i="4"/>
  <c r="AI54" i="4"/>
  <c r="S46" i="4"/>
  <c r="AA46" i="4"/>
  <c r="F45" i="4"/>
  <c r="T18" i="4" l="1"/>
  <c r="U18" i="4" s="1"/>
  <c r="AE18" i="4" s="1"/>
  <c r="AC19" i="4"/>
  <c r="Y13" i="5"/>
  <c r="Z13" i="5" s="1"/>
  <c r="AH13" i="5"/>
  <c r="AI13" i="5"/>
  <c r="Y12" i="5"/>
  <c r="Z12" i="5" s="1"/>
  <c r="AH12" i="5"/>
  <c r="AI12" i="5"/>
  <c r="Y28" i="5"/>
  <c r="Z28" i="5" s="1"/>
  <c r="AH28" i="5"/>
  <c r="AI28" i="5"/>
  <c r="Y27" i="5"/>
  <c r="Z27" i="5" s="1"/>
  <c r="AH27" i="5"/>
  <c r="AI27" i="5"/>
  <c r="Y11" i="5"/>
  <c r="Z11" i="5" s="1"/>
  <c r="AH11" i="5"/>
  <c r="AI11" i="5"/>
  <c r="Y25" i="5"/>
  <c r="Z25" i="5" s="1"/>
  <c r="AH25" i="5"/>
  <c r="AI25" i="5"/>
  <c r="Y14" i="5"/>
  <c r="Z14" i="5" s="1"/>
  <c r="AH14" i="5"/>
  <c r="AI14" i="5"/>
  <c r="Y26" i="5"/>
  <c r="Z26" i="5" s="1"/>
  <c r="AH26" i="5"/>
  <c r="AI26" i="5"/>
  <c r="W15" i="5"/>
  <c r="X15" i="5" s="1"/>
  <c r="AI15" i="5" s="1"/>
  <c r="AG15" i="5"/>
  <c r="W29" i="5"/>
  <c r="X29" i="5" s="1"/>
  <c r="AI29" i="5" s="1"/>
  <c r="AG29" i="5"/>
  <c r="AE19" i="4"/>
  <c r="AF19" i="4"/>
  <c r="V19" i="4"/>
  <c r="AH19" i="4" s="1"/>
  <c r="AD19" i="4"/>
  <c r="T46" i="4"/>
  <c r="U46" i="4" s="1"/>
  <c r="AC46" i="4"/>
  <c r="G45" i="4"/>
  <c r="AD18" i="4" l="1"/>
  <c r="AF18" i="4"/>
  <c r="V18" i="4"/>
  <c r="AH18" i="4" s="1"/>
  <c r="AJ28" i="5"/>
  <c r="AK28" i="5"/>
  <c r="AJ14" i="5"/>
  <c r="AK14" i="5"/>
  <c r="AJ27" i="5"/>
  <c r="AK27" i="5"/>
  <c r="AK25" i="5"/>
  <c r="AJ25" i="5"/>
  <c r="AJ26" i="5"/>
  <c r="AK26" i="5"/>
  <c r="AK11" i="5"/>
  <c r="AJ11" i="5"/>
  <c r="AJ12" i="5"/>
  <c r="AK12" i="5"/>
  <c r="AJ13" i="5"/>
  <c r="AK13" i="5"/>
  <c r="Y29" i="5"/>
  <c r="Z29" i="5" s="1"/>
  <c r="AH29" i="5"/>
  <c r="Y15" i="5"/>
  <c r="Z15" i="5" s="1"/>
  <c r="AH15" i="5"/>
  <c r="AE46" i="4"/>
  <c r="AF46" i="4"/>
  <c r="V46" i="4"/>
  <c r="AH46" i="4" s="1"/>
  <c r="AD46" i="4"/>
  <c r="AI19" i="4"/>
  <c r="AG19" i="4"/>
  <c r="H45" i="4"/>
  <c r="AG18" i="4" l="1"/>
  <c r="AI18" i="4"/>
  <c r="AJ15" i="5"/>
  <c r="AK15" i="5"/>
  <c r="AJ29" i="5"/>
  <c r="AK29" i="5"/>
  <c r="AG46" i="4"/>
  <c r="AI46" i="4"/>
  <c r="I45" i="4"/>
  <c r="J45" i="4" l="1"/>
  <c r="K45" i="4" l="1"/>
  <c r="L45" i="4" l="1"/>
  <c r="M45" i="4" l="1"/>
  <c r="Y45" i="4" s="1"/>
  <c r="N45" i="4" l="1"/>
  <c r="Z45" i="4" s="1"/>
  <c r="O45" i="4" l="1"/>
  <c r="P45" i="4" l="1"/>
  <c r="Q45" i="4" l="1"/>
  <c r="R45" i="4" l="1"/>
  <c r="AA45" i="4" l="1"/>
  <c r="AB45" i="4"/>
  <c r="S45" i="4"/>
  <c r="AC45" i="4" s="1"/>
  <c r="T45" i="4" l="1"/>
  <c r="U45" i="4" s="1"/>
  <c r="AE45" i="4" l="1"/>
  <c r="AF45" i="4"/>
  <c r="V45" i="4"/>
  <c r="AH45" i="4" s="1"/>
  <c r="AD45" i="4"/>
  <c r="AG45" i="4" l="1"/>
  <c r="AI45" i="4"/>
</calcChain>
</file>

<file path=xl/sharedStrings.xml><?xml version="1.0" encoding="utf-8"?>
<sst xmlns="http://schemas.openxmlformats.org/spreadsheetml/2006/main" count="479" uniqueCount="263">
  <si>
    <t>bijdragen en uitgaven per capita</t>
  </si>
  <si>
    <t>1. aandeel bijdragen versus uitgaven</t>
  </si>
  <si>
    <t>equivalentie uitgaven en bijdragen</t>
  </si>
  <si>
    <t xml:space="preserve">2. evolutie aangeslotenen, bijdragen en uitgaven </t>
  </si>
  <si>
    <t>probleem zit bij de uitgaven</t>
  </si>
  <si>
    <t>Aangeslotenen</t>
  </si>
  <si>
    <t>(Bron data aangeslotenen: KSZ)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</si>
  <si>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</si>
  <si>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</si>
  <si>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</si>
  <si>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</si>
  <si>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</si>
  <si>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</si>
  <si>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</si>
  <si>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</si>
  <si>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</si>
  <si>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</si>
  <si>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</si>
  <si>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</si>
  <si>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</si>
  <si>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</si>
  <si>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</si>
  <si>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</si>
  <si>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</si>
  <si>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</si>
  <si>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</si>
  <si>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</si>
  <si>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</si>
  <si>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r>
      <t xml:space="preserve">Totaal zelfstandigen </t>
    </r>
    <r>
      <rPr>
        <sz val="11"/>
        <color rgb="FFFF0000"/>
        <rFont val="Aptos Narrow"/>
        <family val="2"/>
        <scheme val="minor"/>
      </rPr>
      <t>(= n12)</t>
    </r>
  </si>
  <si>
    <t>% zelfstandigen</t>
  </si>
  <si>
    <t>Totaal loontrekkenden (n11)</t>
  </si>
  <si>
    <t>% loontrekkenden</t>
  </si>
  <si>
    <t>Totaal werkenden (= n11, n12, n13, n141, n142, n143)</t>
  </si>
  <si>
    <t>4207368</t>
  </si>
  <si>
    <t>4278025</t>
  </si>
  <si>
    <t>4371191</t>
  </si>
  <si>
    <t>4414790</t>
  </si>
  <si>
    <t>4406851</t>
  </si>
  <si>
    <t>4468261</t>
  </si>
  <si>
    <t>4500704</t>
  </si>
  <si>
    <t>4505459</t>
  </si>
  <si>
    <t>4532474</t>
  </si>
  <si>
    <t>4574017</t>
  </si>
  <si>
    <t>4637447</t>
  </si>
  <si>
    <t>4712713</t>
  </si>
  <si>
    <t>4783951</t>
  </si>
  <si>
    <t>4856922</t>
  </si>
  <si>
    <t>4964745</t>
  </si>
  <si>
    <t>5030500</t>
  </si>
  <si>
    <t>Noemer RSZ (= Totaal werkenden - totaal zelfstandigen)</t>
  </si>
  <si>
    <r>
      <t>Totaal vennootschappen (Bron:</t>
    </r>
    <r>
      <rPr>
        <sz val="11"/>
        <color rgb="FFFF0000"/>
        <rFont val="Aptos Narrow"/>
        <family val="2"/>
        <scheme val="minor"/>
      </rPr>
      <t xml:space="preserve"> RSVZ</t>
    </r>
    <r>
      <rPr>
        <sz val="11"/>
        <color theme="1"/>
        <rFont val="Aptos Narrow"/>
        <family val="2"/>
        <scheme val="minor"/>
      </rPr>
      <t>)</t>
    </r>
  </si>
  <si>
    <t>Aantal</t>
  </si>
  <si>
    <t>354.953</t>
  </si>
  <si>
    <t>373.382</t>
  </si>
  <si>
    <t>387.861</t>
  </si>
  <si>
    <t>413.469</t>
  </si>
  <si>
    <t>429.286</t>
  </si>
  <si>
    <t>445.941</t>
  </si>
  <si>
    <t>464.463</t>
  </si>
  <si>
    <t>477.479</t>
  </si>
  <si>
    <t>486.320</t>
  </si>
  <si>
    <t>500.742</t>
  </si>
  <si>
    <t>516.774</t>
  </si>
  <si>
    <t>533.903</t>
  </si>
  <si>
    <t>551.179</t>
  </si>
  <si>
    <t>565.782</t>
  </si>
  <si>
    <t>627.057</t>
  </si>
  <si>
    <t>655.108</t>
  </si>
  <si>
    <t>Gepensioneeerden met zelfstandigenpensioen</t>
  </si>
  <si>
    <t>638335</t>
  </si>
  <si>
    <t>646083</t>
  </si>
  <si>
    <t>654831</t>
  </si>
  <si>
    <t>Evolutie zelfstandigen</t>
  </si>
  <si>
    <t>Evolutie loontrekkenden</t>
  </si>
  <si>
    <t>Evolutie vennootschappen</t>
  </si>
  <si>
    <t>Correctie voor inflatie</t>
  </si>
  <si>
    <r>
      <t>CPI (2013=100) (</t>
    </r>
    <r>
      <rPr>
        <i/>
        <sz val="11"/>
        <color theme="1"/>
        <rFont val="Aptos Narrow"/>
        <family val="2"/>
        <scheme val="minor"/>
      </rPr>
      <t>bron: Statbel: https://statbel.fgov.be/nl/themas/consumptieprijsindex/consumptieprijsindex#figures --&gt; Excel: Consumptieprijsindex vanaf 1920 en gezondheidsindex vanaf 1994</t>
    </r>
    <r>
      <rPr>
        <sz val="11"/>
        <color theme="1"/>
        <rFont val="Aptos Narrow"/>
        <family val="2"/>
        <scheme val="minor"/>
      </rPr>
      <t>)</t>
    </r>
  </si>
  <si>
    <r>
      <t xml:space="preserve">Herwaardering naar factor </t>
    </r>
    <r>
      <rPr>
        <sz val="11"/>
        <color rgb="FFFF0000"/>
        <rFont val="Aptos Narrow"/>
        <family val="2"/>
        <scheme val="minor"/>
      </rPr>
      <t>2023</t>
    </r>
    <r>
      <rPr>
        <sz val="11"/>
        <color theme="1"/>
        <rFont val="Aptos Narrow"/>
        <family val="2"/>
        <scheme val="minor"/>
      </rPr>
      <t xml:space="preserve"> ("huidige koopkracht")</t>
    </r>
  </si>
  <si>
    <t xml:space="preserve">Bron bedragen zelfstandigen: Excel-file B. Zelfstandigen_2000-2025, verkregen via FOD S.Z. </t>
  </si>
  <si>
    <t>Bijdragen zelfstandigen</t>
  </si>
  <si>
    <t>Evolutie bijdragen zelfstandigen</t>
  </si>
  <si>
    <t>Evolutie bijdragen / capita zelfstandigen</t>
  </si>
  <si>
    <t>Evolutie bijdragen zelfstandigen gecorrigeerd voor inflatie (Alle bedragen werden omgezet (geherwaardeerd) naar prijzen van 2023 op basis van de Belgische consumptieprijsindex (Statbel, basisjaar 2013 = 100).</t>
  </si>
  <si>
    <t>Evolutie bijdragen/capita zelfstandigen geïndexeerd</t>
  </si>
  <si>
    <t>Uitgaven zelfstandigen</t>
  </si>
  <si>
    <t>Evolutie uitgaven zelfstandigen</t>
  </si>
  <si>
    <t>Evolutie uitgaven / capita zelfstandigen</t>
  </si>
  <si>
    <t>Evolutie uitgaven zelfstandigen geïndexeerd</t>
  </si>
  <si>
    <t>Evolutie uitgaven/capita zelfstandigen geïndexeerd</t>
  </si>
  <si>
    <t xml:space="preserve">Bron bedragen zelfstandigen: Excel-file A. Werknemers_2000-2025, verkregen via FOD S.Z. </t>
  </si>
  <si>
    <t>Bijdragen werknemers</t>
  </si>
  <si>
    <t>Evolutie bijdragen werknemers</t>
  </si>
  <si>
    <t>Evolutie bijdragen / capita werknemers</t>
  </si>
  <si>
    <t>Evolutie bijdragen werknemers geïndexeerd</t>
  </si>
  <si>
    <t>Evolutie bijdragen/capita werknemers geïndexeerd</t>
  </si>
  <si>
    <t>Uitgaven werknemers</t>
  </si>
  <si>
    <t>Evolutie uitgaven werknemers</t>
  </si>
  <si>
    <t>Evolutie uitgaven / capita werknemers</t>
  </si>
  <si>
    <t>Evolutie uitgaven werknemers geïndexeerd</t>
  </si>
  <si>
    <t>Evolutie uitgaven/capita werknemers geïndexeerd</t>
  </si>
  <si>
    <t>Vennootschapsbijdragen zelfstandigen</t>
  </si>
  <si>
    <t xml:space="preserve">Zelfstandigen: Vennootschapsbijdragen </t>
  </si>
  <si>
    <t>Evolutie venootschapsbijdragen / capita</t>
  </si>
  <si>
    <t>Zelfstandigen: Vennootschapsbijdragen geïndexeerd</t>
  </si>
  <si>
    <t>Evolutie vennootschapsbijdragen/capita geïndexeerd</t>
  </si>
  <si>
    <t>Gewone bijdragen zelfstandigen</t>
  </si>
  <si>
    <t>Zelfstandigen: Gewone bijdragen</t>
  </si>
  <si>
    <t>Evolutie gewone bijdragen / capita zelfstandigen</t>
  </si>
  <si>
    <t>Zelfstandigen: Gewone bijdragen geïndexeerd</t>
  </si>
  <si>
    <t>Evolutie gewone bijdragen/capita zelfstandigen geïndexeerd</t>
  </si>
  <si>
    <t>Uitgaven zelfstandigenpensioenen</t>
  </si>
  <si>
    <t>Zelfstandigen: Uitgaven pensioenen</t>
  </si>
  <si>
    <t>Zelfstandigen: gecorrigeerde uitgaven pensioenen</t>
  </si>
  <si>
    <t>Zelfstandigen: Uitgaven pensioenen geïndexeerd</t>
  </si>
  <si>
    <t>Zelfstandigen: Gecorrigeerde uitgaven pensioenen geïndexeerd</t>
  </si>
  <si>
    <t>Bron: bedragen verkregen via FOZ S.Z.</t>
  </si>
  <si>
    <t>Extra: Zelfstandigen: bijdragen naar vorm van zelfstandigheid</t>
  </si>
  <si>
    <t>Bijdragen zelfstandigen in hoofdberoep</t>
  </si>
  <si>
    <t>% van totaal</t>
  </si>
  <si>
    <t>Bijdragen zelfstandigen in bijberoep</t>
  </si>
  <si>
    <t>Bijdragen zelfstandigen actief na pensioen</t>
  </si>
  <si>
    <t>Totale bijdragen zelfstandigen (wijken af van voorgaande totaal: omdat die budgettaire realisaties ook de gerechtelijke interesten, de moratoriuminteresten en de bonussen omvatten (de inningen hieromtrent zijn niet op te splitsen naar type zelfstandigen) +voor de CNH de netto-inkohieringen omvatten)</t>
  </si>
  <si>
    <t>Vennootschappen</t>
  </si>
  <si>
    <t>CPI basisjaar 2013</t>
  </si>
  <si>
    <t>CPI basisjaar 2024 (132.04 basisjaar 2013)</t>
  </si>
  <si>
    <t>Zelfstandigen</t>
  </si>
  <si>
    <t>Populatie</t>
  </si>
  <si>
    <t>Uitgaven</t>
  </si>
  <si>
    <t>Bijdragen</t>
  </si>
  <si>
    <t>Gecorrigeerd voor inflatie</t>
  </si>
  <si>
    <t>Per capita gecorrigeerd voor inflatie</t>
  </si>
  <si>
    <t>Procentuele evolutie</t>
  </si>
  <si>
    <t>Werknemers</t>
  </si>
  <si>
    <t>Ratio bijdragen/uitgaven</t>
  </si>
  <si>
    <t>Tekort</t>
  </si>
  <si>
    <t>Gewone bijdragen</t>
  </si>
  <si>
    <t>Aantal zelfstandigen</t>
  </si>
  <si>
    <t>Vennootschapsbijdragen</t>
  </si>
  <si>
    <t>Aantal vennootschappen</t>
  </si>
  <si>
    <t>Beroepssolidariteit</t>
  </si>
  <si>
    <t>Nationale solidariteit</t>
  </si>
  <si>
    <t xml:space="preserve">Toelagen van publieke overheden  </t>
  </si>
  <si>
    <t xml:space="preserve">Alternatieve financiering </t>
  </si>
  <si>
    <t>Overige financiering</t>
  </si>
  <si>
    <t>Bron: Excel 'A. Werknemers_2000-2025' en 'B.Zelfstandigen_2000-2025' verkregen van FOD SZ</t>
  </si>
  <si>
    <t>Aandeel nationale solidariteit - zelfstandigen</t>
  </si>
  <si>
    <t>Evolutie nationale solidariteit - zelfstandigen</t>
  </si>
  <si>
    <t>Aandeel nationale solidariteit - werknemers</t>
  </si>
  <si>
    <t>Evolutie nationale solidariteit - werknemers</t>
  </si>
  <si>
    <t>dubbelcheck berekeningen inflatie</t>
  </si>
  <si>
    <t>Aandeel vennootschapsbijdragen in totale SB</t>
  </si>
  <si>
    <t>NBB: D.613: Werknemersbijdragen: Werkelijke sociale premies t.l.v. de werknemers</t>
  </si>
  <si>
    <t>zelfstandige</t>
  </si>
  <si>
    <t>helper</t>
  </si>
  <si>
    <t>loontrekkend en zelfstandige/helper - voornaamste job loontrekkend</t>
  </si>
  <si>
    <t>n141</t>
  </si>
  <si>
    <t>loontrekkend en zelfstandige/helper - voornaamste job zelfstandige</t>
  </si>
  <si>
    <t>n142</t>
  </si>
  <si>
    <t>loontrekkend en zelfstandige/helper - voornaamste job helper</t>
  </si>
  <si>
    <t>n143</t>
  </si>
  <si>
    <t>Loontrekkende</t>
  </si>
  <si>
    <t>Socio-economische positie</t>
  </si>
  <si>
    <t>Overeenstemmende nomenclatuurcodes</t>
  </si>
  <si>
    <t>Totaal</t>
  </si>
  <si>
    <t>2003/4</t>
  </si>
  <si>
    <t>2004/4</t>
  </si>
  <si>
    <t>2005/4</t>
  </si>
  <si>
    <t>2006/4</t>
  </si>
  <si>
    <t>2007/4</t>
  </si>
  <si>
    <t>2008/4</t>
  </si>
  <si>
    <t>2009/4</t>
  </si>
  <si>
    <t>2010/4</t>
  </si>
  <si>
    <t>2011/4</t>
  </si>
  <si>
    <t>2012/4</t>
  </si>
  <si>
    <t>2013/4</t>
  </si>
  <si>
    <t>2014/4</t>
  </si>
  <si>
    <t>2015/4</t>
  </si>
  <si>
    <t>2016/4</t>
  </si>
  <si>
    <t>2017/4</t>
  </si>
  <si>
    <t>2018/4</t>
  </si>
  <si>
    <t>2019/4</t>
  </si>
  <si>
    <t>2020/4</t>
  </si>
  <si>
    <t>2021/4</t>
  </si>
  <si>
    <t>2022/4</t>
  </si>
  <si>
    <t>2023/4</t>
  </si>
  <si>
    <t>2024/4</t>
  </si>
  <si>
    <t>61 507</t>
  </si>
  <si>
    <t>60 441</t>
  </si>
  <si>
    <t>62 585</t>
  </si>
  <si>
    <t>64 277</t>
  </si>
  <si>
    <t>65 985</t>
  </si>
  <si>
    <t>68 787</t>
  </si>
  <si>
    <t>71 861</t>
  </si>
  <si>
    <t>75 337</t>
  </si>
  <si>
    <t>80 298</t>
  </si>
  <si>
    <t>85 883</t>
  </si>
  <si>
    <t>90 814</t>
  </si>
  <si>
    <t>94 833</t>
  </si>
  <si>
    <t>99 772</t>
  </si>
  <si>
    <t>105 445</t>
  </si>
  <si>
    <t>109 176</t>
  </si>
  <si>
    <t>114 964</t>
  </si>
  <si>
    <t>120 848</t>
  </si>
  <si>
    <t>126 882</t>
  </si>
  <si>
    <t>133 856</t>
  </si>
  <si>
    <t>140 286</t>
  </si>
  <si>
    <t>Totaal bijdragen o.b.v. NBB</t>
  </si>
  <si>
    <t>58 759</t>
  </si>
  <si>
    <t>Verschil (%) (Nationale bank - FOD SZ)</t>
  </si>
  <si>
    <t>n11* (n111: in één job, n112: in meerdere jobs)</t>
  </si>
  <si>
    <t>n12* (n121: in hoofdberoep, n122: in bijberoep, n123: na pensioenleeftijd)</t>
  </si>
  <si>
    <t>n13* (n131: in hoofdberoep, n132: in bijberoep, n133: na pensioenleeftijd)</t>
  </si>
  <si>
    <r>
      <t>Extra:</t>
    </r>
    <r>
      <rPr>
        <sz val="11"/>
        <color rgb="FF2E3031"/>
        <rFont val="Aptos Narrow"/>
        <family val="2"/>
        <scheme val="minor"/>
      </rPr>
      <t xml:space="preserve"> Zelfstandigen die "werkend als pensioentrekkende: Ja" aangevinkt hebben. Deze groep is een deel van totaalcijfer zelfstandigen n12, maar het is niet geheel duidelijk of dit perfect overlapt met n123: zelfstandige na pensioenleeftijd.</t>
    </r>
  </si>
  <si>
    <t>Opsplitsing WN's en WG's bijdragen + vergelijking totaal NB - totaal FOD SZ</t>
  </si>
  <si>
    <t>Totale gewone bijdragen o.b.v. data FOD SZ: "A. Werknemers_2000-2025"</t>
  </si>
  <si>
    <t>n12 + n13 + n142 + n143</t>
  </si>
  <si>
    <t>n11 + n141</t>
  </si>
  <si>
    <t>NIEUW voorgestelde aangepaste totale populatie loontrekkenden</t>
  </si>
  <si>
    <t>NIEUW voorgestelde aangepaste totale populatie aangesloten zelfstandigen</t>
  </si>
  <si>
    <t>*Noot: Je kan de cijfergegevens voor n111, n112, n121, n122, n123, n131, n132, en n133 niet afzonderlijk opvragen, laagst opvraagbare niveau hier is n11, n12, n13</t>
  </si>
  <si>
    <t>Aandeel zelfstandigen</t>
  </si>
  <si>
    <t>Aandeel loontrekkenden</t>
  </si>
  <si>
    <t>Populatie werknemers (W1)</t>
  </si>
  <si>
    <t>Populatie werknemers (W2)</t>
  </si>
  <si>
    <t>Populatie zelfstandigen (Z1)</t>
  </si>
  <si>
    <t>Populatie zelfstandigen (Z2)</t>
  </si>
  <si>
    <t>Populatie Z1</t>
  </si>
  <si>
    <t>Populatie Z2</t>
  </si>
  <si>
    <t>Omzettingsfactor inflatie</t>
  </si>
  <si>
    <t>Per capita gecorrigeerd voor inflatie Z1</t>
  </si>
  <si>
    <t>Per capita gecorrigeerd voor inflatie Z2</t>
  </si>
  <si>
    <t>Populatie W1</t>
  </si>
  <si>
    <t>Populatie W2</t>
  </si>
  <si>
    <t>Per capita gecorrigeerd voor inflatie W1</t>
  </si>
  <si>
    <t>Per capita gecorrigeerd voor inflatie W2</t>
  </si>
  <si>
    <t>2003-2014</t>
  </si>
  <si>
    <t>2015-2019</t>
  </si>
  <si>
    <t>2019-2020</t>
  </si>
  <si>
    <t>2014-2015</t>
  </si>
  <si>
    <t>2003-2019</t>
  </si>
  <si>
    <t>2022-2023</t>
  </si>
  <si>
    <t>2003-2023</t>
  </si>
  <si>
    <t>2020-2022</t>
  </si>
  <si>
    <t>2019-2022</t>
  </si>
  <si>
    <t>2003-2022</t>
  </si>
  <si>
    <t>2019-2023</t>
  </si>
  <si>
    <t>2000-2007</t>
  </si>
  <si>
    <t>2007-2009</t>
  </si>
  <si>
    <t>2009-2014</t>
  </si>
  <si>
    <t>2022-2024</t>
  </si>
  <si>
    <t>2000-2024</t>
  </si>
  <si>
    <t>Aandeel overheidstoelagen in NS</t>
  </si>
  <si>
    <t>Aandeel alternatieve financiering in NS</t>
  </si>
  <si>
    <t>Populatie zelfstandigen RSVZ</t>
  </si>
  <si>
    <t>Werknemersbijdragen</t>
  </si>
  <si>
    <t>Werkgeversbijdrage</t>
  </si>
  <si>
    <t>Aantal werknemers</t>
  </si>
  <si>
    <t>Aandeel WN</t>
  </si>
  <si>
    <t>Aandeel WG</t>
  </si>
  <si>
    <t>Werknemers- en werkgeversbijdragen</t>
  </si>
  <si>
    <t>NBB: Werkelijke sociale premies t.l.v. de werkgevers (D.611)</t>
  </si>
  <si>
    <t>GI basisjaar 2013</t>
  </si>
  <si>
    <t>GI basisjaar 2024 (132.10 basisjaar 2013)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</si>
</sst>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"/>
    <numFmt numFmtId="165" formatCode="0.0%"/>
    <numFmt numFmtId="166" formatCode="_ * #,##0_ ;_ * \-#,##0_ ;_ * &quot;-&quot;??_ ;_ @_ "/>
    <numFmt numFmtId="167" formatCode="0.000"/>
    <numFmt numFmtId="168" formatCode="0.00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theme="1" tint="0.499984740745262"/>
      <name val="Aptos Narrow"/>
      <family val="2"/>
      <scheme val="minor"/>
    </font>
    <font>
      <sz val="14"/>
      <color theme="1" tint="0.499984740745262"/>
      <name val="Arial"/>
      <family val="2"/>
    </font>
    <font>
      <sz val="11"/>
      <color rgb="FFFF0000"/>
      <name val="Aptos Narrow"/>
      <family val="2"/>
      <scheme val="minor"/>
    </font>
    <font>
      <sz val="11"/>
      <color theme="1" tint="0.499984740745262"/>
      <name val="Arial"/>
      <family val="2"/>
    </font>
    <font>
      <sz val="11"/>
      <color theme="0" tint="-0.499984740745262"/>
      <name val="Aptos Narrow"/>
      <family val="2"/>
      <scheme val="minor"/>
    </font>
    <font>
      <b/>
      <sz val="11"/>
      <color theme="0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2E3031"/>
      <name val="Aptos Narrow"/>
      <family val="2"/>
      <scheme val="minor"/>
    </font>
    <font>
      <b/>
      <sz val="11"/>
      <color rgb="FF2E303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b/>
      <i/>
      <sz val="11"/>
      <name val="Aptos Narrow"/>
      <family val="2"/>
      <scheme val="minor"/>
    </font>
    <font>
      <i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6F6F6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6" fillId="0" borderId="0"/>
    <xf numFmtId="0" fontId="16" fillId="0" borderId="0"/>
  </cellStyleXfs>
  <cellXfs count="106">
    <xf numFmtId="0" fontId="0" fillId="0" borderId="0" xfId="0"/>
    <xf numFmtId="3" fontId="0" fillId="0" borderId="0" xfId="0" applyNumberFormat="1"/>
    <xf numFmtId="9" fontId="0" fillId="0" borderId="0" xfId="2" applyFont="1"/>
    <xf numFmtId="0" fontId="4" fillId="3" borderId="0" xfId="0" applyFont="1" applyFill="1"/>
    <xf numFmtId="164" fontId="2" fillId="0" borderId="0" xfId="0" applyNumberFormat="1" applyFont="1"/>
    <xf numFmtId="0" fontId="0" fillId="0" borderId="1" xfId="0" applyBorder="1"/>
    <xf numFmtId="0" fontId="0" fillId="0" borderId="2" xfId="0" applyBorder="1"/>
    <xf numFmtId="0" fontId="4" fillId="3" borderId="3" xfId="0" applyFont="1" applyFill="1" applyBorder="1"/>
    <xf numFmtId="0" fontId="0" fillId="0" borderId="4" xfId="0" applyBorder="1"/>
    <xf numFmtId="0" fontId="4" fillId="3" borderId="5" xfId="0" applyFont="1" applyFill="1" applyBorder="1"/>
    <xf numFmtId="165" fontId="0" fillId="0" borderId="0" xfId="2" applyNumberFormat="1" applyFont="1" applyBorder="1"/>
    <xf numFmtId="165" fontId="4" fillId="3" borderId="5" xfId="2" applyNumberFormat="1" applyFont="1" applyFill="1" applyBorder="1"/>
    <xf numFmtId="1" fontId="0" fillId="0" borderId="0" xfId="0" applyNumberFormat="1"/>
    <xf numFmtId="49" fontId="3" fillId="2" borderId="0" xfId="0" applyNumberFormat="1" applyFont="1" applyFill="1" applyAlignment="1">
      <alignment horizontal="right" wrapText="1"/>
    </xf>
    <xf numFmtId="43" fontId="7" fillId="3" borderId="5" xfId="1" applyFont="1" applyFill="1" applyBorder="1"/>
    <xf numFmtId="3" fontId="0" fillId="0" borderId="5" xfId="0" applyNumberFormat="1" applyBorder="1"/>
    <xf numFmtId="2" fontId="3" fillId="2" borderId="0" xfId="1" applyNumberFormat="1" applyFont="1" applyFill="1" applyBorder="1" applyAlignment="1">
      <alignment horizontal="right" wrapText="1"/>
    </xf>
    <xf numFmtId="2" fontId="0" fillId="0" borderId="0" xfId="1" applyNumberFormat="1" applyFont="1" applyBorder="1"/>
    <xf numFmtId="43" fontId="3" fillId="2" borderId="0" xfId="1" applyFont="1" applyFill="1" applyBorder="1" applyAlignment="1">
      <alignment horizontal="right" wrapText="1"/>
    </xf>
    <xf numFmtId="43" fontId="5" fillId="3" borderId="5" xfId="1" applyFont="1" applyFill="1" applyBorder="1"/>
    <xf numFmtId="164" fontId="0" fillId="0" borderId="0" xfId="0" applyNumberFormat="1"/>
    <xf numFmtId="0" fontId="0" fillId="0" borderId="6" xfId="0" applyBorder="1"/>
    <xf numFmtId="0" fontId="0" fillId="0" borderId="7" xfId="0" applyBorder="1"/>
    <xf numFmtId="164" fontId="0" fillId="0" borderId="7" xfId="0" applyNumberFormat="1" applyBorder="1"/>
    <xf numFmtId="0" fontId="4" fillId="3" borderId="8" xfId="0" applyFont="1" applyFill="1" applyBorder="1"/>
    <xf numFmtId="0" fontId="2" fillId="0" borderId="1" xfId="0" applyFont="1" applyBorder="1"/>
    <xf numFmtId="0" fontId="2" fillId="0" borderId="0" xfId="0" applyFont="1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2" fillId="0" borderId="7" xfId="0" applyFont="1" applyBorder="1"/>
    <xf numFmtId="0" fontId="2" fillId="0" borderId="8" xfId="0" applyFont="1" applyBorder="1"/>
    <xf numFmtId="0" fontId="8" fillId="0" borderId="0" xfId="0" applyFont="1"/>
    <xf numFmtId="0" fontId="8" fillId="3" borderId="0" xfId="0" applyFont="1" applyFill="1"/>
    <xf numFmtId="164" fontId="9" fillId="0" borderId="0" xfId="0" applyNumberFormat="1" applyFont="1"/>
    <xf numFmtId="164" fontId="0" fillId="0" borderId="2" xfId="0" applyNumberFormat="1" applyBorder="1"/>
    <xf numFmtId="164" fontId="0" fillId="0" borderId="3" xfId="0" applyNumberFormat="1" applyBorder="1"/>
    <xf numFmtId="164" fontId="0" fillId="0" borderId="5" xfId="0" applyNumberFormat="1" applyBorder="1"/>
    <xf numFmtId="164" fontId="2" fillId="0" borderId="7" xfId="0" applyNumberFormat="1" applyFont="1" applyBorder="1"/>
    <xf numFmtId="164" fontId="2" fillId="0" borderId="8" xfId="0" applyNumberFormat="1" applyFont="1" applyBorder="1"/>
    <xf numFmtId="0" fontId="8" fillId="0" borderId="0" xfId="0" quotePrefix="1" applyFont="1"/>
    <xf numFmtId="164" fontId="8" fillId="3" borderId="0" xfId="0" applyNumberFormat="1" applyFont="1" applyFill="1"/>
    <xf numFmtId="164" fontId="8" fillId="0" borderId="0" xfId="0" applyNumberFormat="1" applyFont="1"/>
    <xf numFmtId="49" fontId="8" fillId="0" borderId="0" xfId="0" applyNumberFormat="1" applyFont="1"/>
    <xf numFmtId="49" fontId="0" fillId="0" borderId="0" xfId="0" applyNumberFormat="1"/>
    <xf numFmtId="0" fontId="10" fillId="0" borderId="0" xfId="0" applyFont="1"/>
    <xf numFmtId="0" fontId="11" fillId="0" borderId="0" xfId="0" applyFont="1" applyAlignment="1">
      <alignment horizontal="right" wrapText="1"/>
    </xf>
    <xf numFmtId="2" fontId="0" fillId="0" borderId="0" xfId="0" applyNumberFormat="1"/>
    <xf numFmtId="0" fontId="0" fillId="0" borderId="9" xfId="0" applyBorder="1"/>
    <xf numFmtId="9" fontId="12" fillId="0" borderId="0" xfId="2" applyFont="1" applyBorder="1" applyAlignment="1">
      <alignment horizontal="right" vertical="center"/>
    </xf>
    <xf numFmtId="9" fontId="12" fillId="0" borderId="0" xfId="2" quotePrefix="1" applyFont="1" applyAlignment="1">
      <alignment horizontal="right" vertical="center"/>
    </xf>
    <xf numFmtId="1" fontId="12" fillId="0" borderId="0" xfId="1" quotePrefix="1" applyNumberFormat="1" applyFont="1" applyAlignment="1">
      <alignment horizontal="right" vertical="center"/>
    </xf>
    <xf numFmtId="2" fontId="12" fillId="0" borderId="0" xfId="2" quotePrefix="1" applyNumberFormat="1" applyFont="1" applyAlignment="1">
      <alignment horizontal="right" vertical="center"/>
    </xf>
    <xf numFmtId="4" fontId="0" fillId="0" borderId="0" xfId="0" applyNumberFormat="1" applyAlignment="1">
      <alignment vertical="center" wrapText="1"/>
    </xf>
    <xf numFmtId="0" fontId="15" fillId="5" borderId="10" xfId="0" applyFont="1" applyFill="1" applyBorder="1" applyAlignment="1">
      <alignment vertical="center" wrapText="1"/>
    </xf>
    <xf numFmtId="0" fontId="0" fillId="0" borderId="11" xfId="0" applyBorder="1"/>
    <xf numFmtId="0" fontId="2" fillId="0" borderId="10" xfId="0" applyFont="1" applyBorder="1"/>
    <xf numFmtId="0" fontId="14" fillId="5" borderId="10" xfId="0" applyFont="1" applyFill="1" applyBorder="1" applyAlignment="1">
      <alignment vertical="center" wrapText="1"/>
    </xf>
    <xf numFmtId="0" fontId="0" fillId="0" borderId="10" xfId="0" applyBorder="1"/>
    <xf numFmtId="0" fontId="12" fillId="5" borderId="10" xfId="0" applyFont="1" applyFill="1" applyBorder="1" applyAlignment="1">
      <alignment vertical="top" wrapText="1"/>
    </xf>
    <xf numFmtId="0" fontId="0" fillId="0" borderId="10" xfId="0" applyBorder="1" applyAlignment="1">
      <alignment vertical="center" wrapText="1"/>
    </xf>
    <xf numFmtId="3" fontId="0" fillId="0" borderId="11" xfId="0" applyNumberFormat="1" applyBorder="1"/>
    <xf numFmtId="10" fontId="0" fillId="0" borderId="11" xfId="0" applyNumberFormat="1" applyBorder="1" applyAlignment="1">
      <alignment vertical="center" wrapText="1"/>
    </xf>
    <xf numFmtId="0" fontId="15" fillId="5" borderId="9" xfId="0" applyFont="1" applyFill="1" applyBorder="1" applyAlignment="1">
      <alignment vertical="center" wrapText="1"/>
    </xf>
    <xf numFmtId="0" fontId="14" fillId="5" borderId="9" xfId="0" applyFont="1" applyFill="1" applyBorder="1" applyAlignment="1">
      <alignment vertical="center" wrapText="1"/>
    </xf>
    <xf numFmtId="0" fontId="15" fillId="6" borderId="10" xfId="0" applyFont="1" applyFill="1" applyBorder="1" applyAlignment="1">
      <alignment vertical="center" wrapText="1"/>
    </xf>
    <xf numFmtId="0" fontId="14" fillId="6" borderId="10" xfId="0" applyFont="1" applyFill="1" applyBorder="1" applyAlignment="1">
      <alignment vertical="center" wrapText="1"/>
    </xf>
    <xf numFmtId="0" fontId="0" fillId="6" borderId="11" xfId="0" applyFill="1" applyBorder="1"/>
    <xf numFmtId="0" fontId="17" fillId="0" borderId="0" xfId="0" applyFont="1"/>
    <xf numFmtId="2" fontId="12" fillId="0" borderId="0" xfId="0" applyNumberFormat="1" applyFont="1"/>
    <xf numFmtId="0" fontId="12" fillId="0" borderId="0" xfId="0" applyFont="1"/>
    <xf numFmtId="0" fontId="18" fillId="4" borderId="0" xfId="0" applyFont="1" applyFill="1"/>
    <xf numFmtId="167" fontId="12" fillId="0" borderId="0" xfId="0" applyNumberFormat="1" applyFont="1"/>
    <xf numFmtId="1" fontId="12" fillId="0" borderId="0" xfId="0" applyNumberFormat="1" applyFont="1"/>
    <xf numFmtId="0" fontId="19" fillId="0" borderId="0" xfId="0" applyFont="1"/>
    <xf numFmtId="168" fontId="12" fillId="0" borderId="0" xfId="0" applyNumberFormat="1" applyFont="1"/>
    <xf numFmtId="0" fontId="12" fillId="3" borderId="0" xfId="0" applyFont="1" applyFill="1"/>
    <xf numFmtId="1" fontId="16" fillId="0" borderId="0" xfId="0" applyNumberFormat="1" applyFont="1" applyAlignment="1">
      <alignment horizontal="right" wrapText="1"/>
    </xf>
    <xf numFmtId="0" fontId="16" fillId="0" borderId="0" xfId="0" applyFont="1" applyAlignment="1">
      <alignment horizontal="right" wrapText="1"/>
    </xf>
    <xf numFmtId="9" fontId="12" fillId="0" borderId="0" xfId="2" applyFont="1" applyBorder="1"/>
    <xf numFmtId="166" fontId="19" fillId="0" borderId="0" xfId="1" applyNumberFormat="1" applyFont="1" applyBorder="1"/>
    <xf numFmtId="1" fontId="12" fillId="3" borderId="0" xfId="0" applyNumberFormat="1" applyFont="1" applyFill="1"/>
    <xf numFmtId="0" fontId="17" fillId="3" borderId="0" xfId="0" applyFont="1" applyFill="1"/>
    <xf numFmtId="0" fontId="19" fillId="3" borderId="0" xfId="0" applyFont="1" applyFill="1"/>
    <xf numFmtId="2" fontId="12" fillId="3" borderId="0" xfId="0" applyNumberFormat="1" applyFont="1" applyFill="1"/>
    <xf numFmtId="1" fontId="16" fillId="3" borderId="0" xfId="4" applyNumberFormat="1" applyFill="1" applyAlignment="1">
      <alignment horizontal="right"/>
    </xf>
    <xf numFmtId="0" fontId="12" fillId="4" borderId="0" xfId="0" applyFont="1" applyFill="1"/>
    <xf numFmtId="9" fontId="12" fillId="4" borderId="0" xfId="2" applyFont="1" applyFill="1" applyBorder="1"/>
    <xf numFmtId="43" fontId="12" fillId="4" borderId="0" xfId="1" applyFont="1" applyFill="1" applyBorder="1"/>
    <xf numFmtId="2" fontId="12" fillId="4" borderId="0" xfId="0" applyNumberFormat="1" applyFont="1" applyFill="1"/>
    <xf numFmtId="0" fontId="18" fillId="6" borderId="0" xfId="0" applyFont="1" applyFill="1"/>
    <xf numFmtId="0" fontId="12" fillId="6" borderId="0" xfId="0" applyFont="1" applyFill="1"/>
    <xf numFmtId="2" fontId="12" fillId="6" borderId="0" xfId="0" applyNumberFormat="1" applyFont="1" applyFill="1"/>
    <xf numFmtId="9" fontId="12" fillId="6" borderId="0" xfId="2" applyFont="1" applyFill="1" applyBorder="1"/>
    <xf numFmtId="2" fontId="0" fillId="4" borderId="0" xfId="0" applyNumberFormat="1" applyFill="1"/>
    <xf numFmtId="0" fontId="13" fillId="0" borderId="0" xfId="0" applyFont="1"/>
    <xf numFmtId="2" fontId="8" fillId="0" borderId="0" xfId="0" applyNumberFormat="1" applyFont="1"/>
    <xf numFmtId="2" fontId="12" fillId="0" borderId="0" xfId="2" applyNumberFormat="1" applyFont="1" applyBorder="1"/>
    <xf numFmtId="1" fontId="12" fillId="0" borderId="0" xfId="2" applyNumberFormat="1" applyFont="1" applyBorder="1"/>
    <xf numFmtId="43" fontId="12" fillId="0" borderId="0" xfId="1" applyFont="1" applyBorder="1"/>
    <xf numFmtId="1" fontId="12" fillId="5" borderId="11" xfId="0" applyNumberFormat="1" applyFont="1" applyFill="1" applyBorder="1" applyAlignment="1">
      <alignment horizontal="right" vertical="top"/>
    </xf>
    <xf numFmtId="1" fontId="0" fillId="0" borderId="11" xfId="0" applyNumberFormat="1" applyBorder="1" applyAlignment="1">
      <alignment vertical="center" wrapText="1"/>
    </xf>
    <xf numFmtId="2" fontId="16" fillId="0" borderId="0" xfId="3" applyNumberFormat="1"/>
    <xf numFmtId="9" fontId="0" fillId="0" borderId="0" xfId="0" applyNumberFormat="1"/>
    <xf numFmtId="43" fontId="0" fillId="0" borderId="0" xfId="1" applyFont="1"/>
    <xf numFmtId="0" fontId="2" fillId="0" borderId="0" xfId="0" applyFont="1" applyAlignment="1">
      <alignment horizontal="left"/>
    </xf>
  </cellXfs>
  <cellStyles count="5">
    <cellStyle name="Comma" xfId="1" builtinId="3"/>
    <cellStyle name="Normal" xfId="0" builtinId="0"/>
    <cellStyle name="Normal 2" xfId="3" xr:uid="{6ABDE3AB-0D08-4E5C-BAD2-4693F13EAA0F}"/>
    <cellStyle name="Normal_w2co2000" xfId="4" xr:uid="{55425273-D82A-4B29-9B9B-658860D2742C}"/>
    <cellStyle name="Percent" xfId="2" builtinId="5"/>
  </cellStyles>
  <dxfs count="1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Sheet1!$A$19</c:f>
              <c:strCache>
                <c:ptCount val="1"/>
                <c:pt idx="0">
                  <c:v>Evolutie zelfstandigen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Sheet1!$C$6:$V$6</c:f>
              <c:strCache>
                <c:ptCount val="20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</c:strCache>
            </c:strRef>
          </c:cat>
          <c:val>
            <c:numRef>
              <c:f>Sheet1!$C$19:$V$19</c:f>
              <c:numCache>
                <c:formatCode>0.0</c:formatCode>
                <c:ptCount val="20"/>
                <c:pt idx="0">
                  <c:v>100</c:v>
                </c:pt>
                <c:pt idx="1">
                  <c:v>100.53819541595759</c:v>
                </c:pt>
                <c:pt idx="2">
                  <c:v>101.90508010388655</c:v>
                </c:pt>
                <c:pt idx="3">
                  <c:v>103.50452446238066</c:v>
                </c:pt>
                <c:pt idx="4">
                  <c:v>106.11024612153673</c:v>
                </c:pt>
                <c:pt idx="5">
                  <c:v>108.45098471656691</c:v>
                </c:pt>
                <c:pt idx="6">
                  <c:v>110.54863015276852</c:v>
                </c:pt>
                <c:pt idx="7">
                  <c:v>112.62685446998452</c:v>
                </c:pt>
                <c:pt idx="8">
                  <c:v>114.5602433235789</c:v>
                </c:pt>
                <c:pt idx="9">
                  <c:v>116.87958577057407</c:v>
                </c:pt>
                <c:pt idx="10">
                  <c:v>118.39542056597752</c:v>
                </c:pt>
                <c:pt idx="11">
                  <c:v>120.19549495873837</c:v>
                </c:pt>
                <c:pt idx="12">
                  <c:v>122.81224386342018</c:v>
                </c:pt>
                <c:pt idx="13">
                  <c:v>125.41533215051041</c:v>
                </c:pt>
                <c:pt idx="14">
                  <c:v>128.59644560605415</c:v>
                </c:pt>
                <c:pt idx="15">
                  <c:v>131.17665647332234</c:v>
                </c:pt>
                <c:pt idx="16">
                  <c:v>134.60464856003929</c:v>
                </c:pt>
                <c:pt idx="17">
                  <c:v>139.09224373175161</c:v>
                </c:pt>
                <c:pt idx="18">
                  <c:v>143.93386286056631</c:v>
                </c:pt>
                <c:pt idx="19">
                  <c:v>146.64426105933981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1-43DF-9759-7FBC4EFE8967}"/>
            </c:ext>
          </c:extLst>
        </c:ser>
        <c:ser>
          <c:idx val="1"/>
          <c:order val="1"/>
          <c:tx>
            <c:strRef>
              <c:f>Sheet1!$A$20</c:f>
              <c:strCache>
                <c:ptCount val="1"/>
                <c:pt idx="0">
                  <c:v>Evolutie loontrekkenden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Sheet1!$C$6:$V$6</c:f>
              <c:strCache>
                <c:ptCount val="20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</c:strCache>
            </c:strRef>
          </c:cat>
          <c:val>
            <c:numRef>
              <c:f>Sheet1!$C$20:$V$20</c:f>
              <c:numCache>
                <c:formatCode>0.0</c:formatCode>
                <c:ptCount val="20"/>
                <c:pt idx="0">
                  <c:v>100</c:v>
                </c:pt>
                <c:pt idx="1">
                  <c:v>100.7633094818159</c:v>
                </c:pt>
                <c:pt idx="2">
                  <c:v>101.85773773078553</c:v>
                </c:pt>
                <c:pt idx="3">
                  <c:v>103.58774951946656</c:v>
                </c:pt>
                <c:pt idx="4">
                  <c:v>105.69941604905554</c:v>
                </c:pt>
                <c:pt idx="5">
                  <c:v>106.44463127625419</c:v>
                </c:pt>
                <c:pt idx="6">
                  <c:v>105.89376174679619</c:v>
                </c:pt>
                <c:pt idx="7">
                  <c:v>107.20864137735659</c:v>
                </c:pt>
                <c:pt idx="8">
                  <c:v>107.68067600622636</c:v>
                </c:pt>
                <c:pt idx="9">
                  <c:v>107.25887273402968</c:v>
                </c:pt>
                <c:pt idx="10">
                  <c:v>106.75068005763355</c:v>
                </c:pt>
                <c:pt idx="11">
                  <c:v>107.27912976992272</c:v>
                </c:pt>
                <c:pt idx="12">
                  <c:v>107.9372854353435</c:v>
                </c:pt>
                <c:pt idx="13">
                  <c:v>109.20455341612825</c:v>
                </c:pt>
                <c:pt idx="14">
                  <c:v>110.61090955614245</c:v>
                </c:pt>
                <c:pt idx="15">
                  <c:v>112.02661744054635</c:v>
                </c:pt>
                <c:pt idx="16">
                  <c:v>113.30683164727778</c:v>
                </c:pt>
                <c:pt idx="17">
                  <c:v>112.27518497872248</c:v>
                </c:pt>
                <c:pt idx="18">
                  <c:v>113.9635860741255</c:v>
                </c:pt>
                <c:pt idx="19">
                  <c:v>115.18686734839967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91-43DF-9759-7FBC4EFE8967}"/>
            </c:ext>
          </c:extLst>
        </c:ser>
        <c:ser>
          <c:idx val="2"/>
          <c:order val="2"/>
          <c:tx>
            <c:strRef>
              <c:f>Sheet1!$A$21</c:f>
              <c:strCache>
                <c:ptCount val="1"/>
                <c:pt idx="0">
                  <c:v>Evolutie vennootschappen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Sheet1!$C$6:$V$6</c:f>
              <c:strCache>
                <c:ptCount val="20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</c:strCache>
            </c:strRef>
          </c:cat>
          <c:val>
            <c:numRef>
              <c:f>Sheet1!$C$21:$V$21</c:f>
              <c:numCache>
                <c:formatCode>0.0</c:formatCode>
                <c:ptCount val="20"/>
                <c:pt idx="0">
                  <c:v>100</c:v>
                </c:pt>
                <c:pt idx="1">
                  <c:v>102.50467092043571</c:v>
                </c:pt>
                <c:pt idx="2">
                  <c:v>104.27403908297201</c:v>
                </c:pt>
                <c:pt idx="3">
                  <c:v>109.68790025969143</c:v>
                </c:pt>
                <c:pt idx="4">
                  <c:v>113.94137554200304</c:v>
                </c:pt>
                <c:pt idx="5">
                  <c:v>121.46420136073608</c:v>
                </c:pt>
                <c:pt idx="6">
                  <c:v>126.11073900424203</c:v>
                </c:pt>
                <c:pt idx="7">
                  <c:v>131.00345471851097</c:v>
                </c:pt>
                <c:pt idx="8">
                  <c:v>136.44463637325063</c:v>
                </c:pt>
                <c:pt idx="9">
                  <c:v>140.26832822176004</c:v>
                </c:pt>
                <c:pt idx="10">
                  <c:v>142.25185367974524</c:v>
                </c:pt>
                <c:pt idx="11">
                  <c:v>142.8655362451675</c:v>
                </c:pt>
                <c:pt idx="12">
                  <c:v>147.10226671836995</c:v>
                </c:pt>
                <c:pt idx="13">
                  <c:v>151.81196460676139</c:v>
                </c:pt>
                <c:pt idx="14">
                  <c:v>156.84392662835924</c:v>
                </c:pt>
                <c:pt idx="15">
                  <c:v>161.91907263134391</c:v>
                </c:pt>
                <c:pt idx="16">
                  <c:v>166.20897521768248</c:v>
                </c:pt>
                <c:pt idx="17">
                  <c:v>175.60633835090064</c:v>
                </c:pt>
                <c:pt idx="18">
                  <c:v>184.20964501004684</c:v>
                </c:pt>
                <c:pt idx="19">
                  <c:v>192.45014747182756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91-43DF-9759-7FBC4EFE8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7348432"/>
        <c:axId val="867348912"/>
      </c:lineChart>
      <c:catAx>
        <c:axId val="86734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867348912"/>
        <c:crosses val="autoZero"/>
        <c:auto val="1"/>
        <c:lblAlgn val="ctr"/>
        <c:lblOffset val="100"/>
        <c:noMultiLvlLbl val="0"/>
      </c:catAx>
      <c:valAx>
        <c:axId val="86734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86734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056729334888415E-2"/>
          <c:y val="9.1395599177703596E-2"/>
          <c:w val="0.95283190379330573"/>
          <c:h val="0.8660082618390228"/>
        </c:manualLayout>
      </c:layout>
      <c:lineChart>
        <c:grouping val="standard"/>
        <c:varyColors val="0"/>
        <c:ser>
          <c:idx val="0"/>
          <c:order val="0"/>
          <c:tx>
            <c:strRef>
              <c:f>Sheet1!$A$19</c:f>
              <c:strCache>
                <c:ptCount val="1"/>
                <c:pt idx="0">
                  <c:v>Evolutie zelfstandigen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Sheet1!$C$6:$V$6</c:f>
              <c:strCache>
                <c:ptCount val="20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</c:strCache>
            </c:strRef>
          </c:cat>
          <c:val>
            <c:numRef>
              <c:f>Sheet1!$C$19:$V$19</c:f>
              <c:numCache>
                <c:formatCode>0.0</c:formatCode>
                <c:ptCount val="20"/>
                <c:pt idx="0">
                  <c:v>100</c:v>
                </c:pt>
                <c:pt idx="1">
                  <c:v>100.53819541595759</c:v>
                </c:pt>
                <c:pt idx="2">
                  <c:v>101.90508010388655</c:v>
                </c:pt>
                <c:pt idx="3">
                  <c:v>103.50452446238066</c:v>
                </c:pt>
                <c:pt idx="4">
                  <c:v>106.11024612153673</c:v>
                </c:pt>
                <c:pt idx="5">
                  <c:v>108.45098471656691</c:v>
                </c:pt>
                <c:pt idx="6">
                  <c:v>110.54863015276852</c:v>
                </c:pt>
                <c:pt idx="7">
                  <c:v>112.62685446998452</c:v>
                </c:pt>
                <c:pt idx="8">
                  <c:v>114.5602433235789</c:v>
                </c:pt>
                <c:pt idx="9">
                  <c:v>116.87958577057407</c:v>
                </c:pt>
                <c:pt idx="10">
                  <c:v>118.39542056597752</c:v>
                </c:pt>
                <c:pt idx="11">
                  <c:v>120.19549495873837</c:v>
                </c:pt>
                <c:pt idx="12">
                  <c:v>122.81224386342018</c:v>
                </c:pt>
                <c:pt idx="13">
                  <c:v>125.41533215051041</c:v>
                </c:pt>
                <c:pt idx="14">
                  <c:v>128.59644560605415</c:v>
                </c:pt>
                <c:pt idx="15">
                  <c:v>131.17665647332234</c:v>
                </c:pt>
                <c:pt idx="16">
                  <c:v>134.60464856003929</c:v>
                </c:pt>
                <c:pt idx="17">
                  <c:v>139.09224373175161</c:v>
                </c:pt>
                <c:pt idx="18">
                  <c:v>143.93386286056631</c:v>
                </c:pt>
                <c:pt idx="19">
                  <c:v>146.64426105933981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A5-446A-8823-E38603B68C79}"/>
            </c:ext>
          </c:extLst>
        </c:ser>
        <c:ser>
          <c:idx val="1"/>
          <c:order val="1"/>
          <c:tx>
            <c:strRef>
              <c:f>Sheet1!$A$31</c:f>
              <c:strCache>
                <c:ptCount val="1"/>
                <c:pt idx="0">
                  <c:v>Evolutie bijdragen / capita zelfstandigen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Sheet1!$C$6:$V$6</c:f>
              <c:strCache>
                <c:ptCount val="20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</c:strCache>
            </c:strRef>
          </c:cat>
          <c:val>
            <c:numRef>
              <c:f>Sheet1!$C$31:$V$31</c:f>
              <c:numCache>
                <c:formatCode>0.0</c:formatCode>
                <c:ptCount val="20"/>
                <c:pt idx="0">
                  <c:v>100</c:v>
                </c:pt>
                <c:pt idx="1">
                  <c:v>103.89452179883713</c:v>
                </c:pt>
                <c:pt idx="2">
                  <c:v>108.0465738192342</c:v>
                </c:pt>
                <c:pt idx="3">
                  <c:v>111.92145998583368</c:v>
                </c:pt>
                <c:pt idx="4">
                  <c:v>113.85895056186091</c:v>
                </c:pt>
                <c:pt idx="5">
                  <c:v>126.63728061867303</c:v>
                </c:pt>
                <c:pt idx="6">
                  <c:v>130.7562186341917</c:v>
                </c:pt>
                <c:pt idx="7">
                  <c:v>132.84263363508458</c:v>
                </c:pt>
                <c:pt idx="8">
                  <c:v>133.08226057590559</c:v>
                </c:pt>
                <c:pt idx="9">
                  <c:v>135.67101992221009</c:v>
                </c:pt>
                <c:pt idx="10">
                  <c:v>140.04099114140286</c:v>
                </c:pt>
                <c:pt idx="11">
                  <c:v>138.78668624646403</c:v>
                </c:pt>
                <c:pt idx="12">
                  <c:v>144.53788884467005</c:v>
                </c:pt>
                <c:pt idx="13">
                  <c:v>145.16838739008514</c:v>
                </c:pt>
                <c:pt idx="14">
                  <c:v>144.51451671899386</c:v>
                </c:pt>
                <c:pt idx="15">
                  <c:v>144.73183798657291</c:v>
                </c:pt>
                <c:pt idx="16">
                  <c:v>143.62667308837788</c:v>
                </c:pt>
                <c:pt idx="17">
                  <c:v>129.55526155389643</c:v>
                </c:pt>
                <c:pt idx="18">
                  <c:v>137.5145320466207</c:v>
                </c:pt>
                <c:pt idx="19">
                  <c:v>139.79438802673388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A5-446A-8823-E38603B68C79}"/>
            </c:ext>
          </c:extLst>
        </c:ser>
        <c:ser>
          <c:idx val="2"/>
          <c:order val="2"/>
          <c:tx>
            <c:strRef>
              <c:f>Sheet1!$A$41</c:f>
              <c:strCache>
                <c:ptCount val="1"/>
                <c:pt idx="0">
                  <c:v>Evolutie uitgaven / capita zelfstandigen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Sheet1!$C$6:$V$6</c:f>
              <c:strCache>
                <c:ptCount val="20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</c:strCache>
            </c:strRef>
          </c:cat>
          <c:val>
            <c:numRef>
              <c:f>Sheet1!$C$41:$V$41</c:f>
              <c:numCache>
                <c:formatCode>0.0</c:formatCode>
                <c:ptCount val="20"/>
                <c:pt idx="0">
                  <c:v>100</c:v>
                </c:pt>
                <c:pt idx="1">
                  <c:v>106.39702492973244</c:v>
                </c:pt>
                <c:pt idx="2">
                  <c:v>109.09154575492792</c:v>
                </c:pt>
                <c:pt idx="3">
                  <c:v>114.09501328518661</c:v>
                </c:pt>
                <c:pt idx="4">
                  <c:v>116.29141802651327</c:v>
                </c:pt>
                <c:pt idx="5">
                  <c:v>130.94307758542308</c:v>
                </c:pt>
                <c:pt idx="6">
                  <c:v>137.02573532509359</c:v>
                </c:pt>
                <c:pt idx="7">
                  <c:v>141.91033909158381</c:v>
                </c:pt>
                <c:pt idx="8">
                  <c:v>147.10573690419471</c:v>
                </c:pt>
                <c:pt idx="9">
                  <c:v>145.83140166704496</c:v>
                </c:pt>
                <c:pt idx="10">
                  <c:v>149.72889230843776</c:v>
                </c:pt>
                <c:pt idx="11">
                  <c:v>153.82081752950222</c:v>
                </c:pt>
                <c:pt idx="12">
                  <c:v>134.7592873743896</c:v>
                </c:pt>
                <c:pt idx="13">
                  <c:v>133.57274979336444</c:v>
                </c:pt>
                <c:pt idx="14">
                  <c:v>141.74408204507762</c:v>
                </c:pt>
                <c:pt idx="15">
                  <c:v>144.29033909817684</c:v>
                </c:pt>
                <c:pt idx="16">
                  <c:v>145.85267793997528</c:v>
                </c:pt>
                <c:pt idx="17">
                  <c:v>212.5035629663567</c:v>
                </c:pt>
                <c:pt idx="18">
                  <c:v>186.84333517904591</c:v>
                </c:pt>
                <c:pt idx="19">
                  <c:v>176.77995111446427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A5-446A-8823-E38603B68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5453456"/>
        <c:axId val="1125451536"/>
      </c:lineChart>
      <c:catAx>
        <c:axId val="112545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125451536"/>
        <c:crosses val="autoZero"/>
        <c:auto val="1"/>
        <c:lblAlgn val="ctr"/>
        <c:lblOffset val="100"/>
        <c:noMultiLvlLbl val="0"/>
      </c:catAx>
      <c:valAx>
        <c:axId val="112545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12545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433067802580768E-2"/>
          <c:y val="7.7597155515402708E-2"/>
          <c:w val="0.94456693219741927"/>
          <c:h val="0.81191639074090194"/>
        </c:manualLayout>
      </c:layout>
      <c:lineChart>
        <c:grouping val="standard"/>
        <c:varyColors val="0"/>
        <c:ser>
          <c:idx val="0"/>
          <c:order val="0"/>
          <c:tx>
            <c:strRef>
              <c:f>Sheet1!$A$20</c:f>
              <c:strCache>
                <c:ptCount val="1"/>
                <c:pt idx="0">
                  <c:v>Evolutie loontrekkenden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Sheet1!$C$6:$V$6</c:f>
              <c:strCache>
                <c:ptCount val="20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</c:strCache>
            </c:strRef>
          </c:cat>
          <c:val>
            <c:numRef>
              <c:f>Sheet1!$C$20:$V$20</c:f>
              <c:numCache>
                <c:formatCode>0.0</c:formatCode>
                <c:ptCount val="20"/>
                <c:pt idx="0">
                  <c:v>100</c:v>
                </c:pt>
                <c:pt idx="1">
                  <c:v>100.7633094818159</c:v>
                </c:pt>
                <c:pt idx="2">
                  <c:v>101.85773773078553</c:v>
                </c:pt>
                <c:pt idx="3">
                  <c:v>103.58774951946656</c:v>
                </c:pt>
                <c:pt idx="4">
                  <c:v>105.69941604905554</c:v>
                </c:pt>
                <c:pt idx="5">
                  <c:v>106.44463127625419</c:v>
                </c:pt>
                <c:pt idx="6">
                  <c:v>105.89376174679619</c:v>
                </c:pt>
                <c:pt idx="7">
                  <c:v>107.20864137735659</c:v>
                </c:pt>
                <c:pt idx="8">
                  <c:v>107.68067600622636</c:v>
                </c:pt>
                <c:pt idx="9">
                  <c:v>107.25887273402968</c:v>
                </c:pt>
                <c:pt idx="10">
                  <c:v>106.75068005763355</c:v>
                </c:pt>
                <c:pt idx="11">
                  <c:v>107.27912976992272</c:v>
                </c:pt>
                <c:pt idx="12">
                  <c:v>107.9372854353435</c:v>
                </c:pt>
                <c:pt idx="13">
                  <c:v>109.20455341612825</c:v>
                </c:pt>
                <c:pt idx="14">
                  <c:v>110.61090955614245</c:v>
                </c:pt>
                <c:pt idx="15">
                  <c:v>112.02661744054635</c:v>
                </c:pt>
                <c:pt idx="16">
                  <c:v>113.30683164727778</c:v>
                </c:pt>
                <c:pt idx="17">
                  <c:v>112.27518497872248</c:v>
                </c:pt>
                <c:pt idx="18">
                  <c:v>113.9635860741255</c:v>
                </c:pt>
                <c:pt idx="19">
                  <c:v>115.18686734839967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AE-4A59-89CB-EB1290768A61}"/>
            </c:ext>
          </c:extLst>
        </c:ser>
        <c:ser>
          <c:idx val="1"/>
          <c:order val="1"/>
          <c:tx>
            <c:strRef>
              <c:f>Sheet1!$A$51</c:f>
              <c:strCache>
                <c:ptCount val="1"/>
                <c:pt idx="0">
                  <c:v>Evolutie bijdragen / capita werknemers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Sheet1!$C$6:$V$6</c:f>
              <c:strCache>
                <c:ptCount val="20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</c:strCache>
            </c:strRef>
          </c:cat>
          <c:val>
            <c:numRef>
              <c:f>Sheet1!$C$51:$V$51</c:f>
              <c:numCache>
                <c:formatCode>0.0</c:formatCode>
                <c:ptCount val="20"/>
                <c:pt idx="0">
                  <c:v>100</c:v>
                </c:pt>
                <c:pt idx="1">
                  <c:v>101.24320030784784</c:v>
                </c:pt>
                <c:pt idx="2">
                  <c:v>103.41617801015941</c:v>
                </c:pt>
                <c:pt idx="3">
                  <c:v>104.51765919938036</c:v>
                </c:pt>
                <c:pt idx="4">
                  <c:v>108.11042877214247</c:v>
                </c:pt>
                <c:pt idx="5">
                  <c:v>111.32798803023088</c:v>
                </c:pt>
                <c:pt idx="6">
                  <c:v>114.18795768712299</c:v>
                </c:pt>
                <c:pt idx="7">
                  <c:v>113.70526074461073</c:v>
                </c:pt>
                <c:pt idx="8">
                  <c:v>118.58998094872081</c:v>
                </c:pt>
                <c:pt idx="9">
                  <c:v>124.4576056364846</c:v>
                </c:pt>
                <c:pt idx="10">
                  <c:v>127.73691558003657</c:v>
                </c:pt>
                <c:pt idx="11">
                  <c:v>131.6074535191907</c:v>
                </c:pt>
                <c:pt idx="12">
                  <c:v>135.93584224631834</c:v>
                </c:pt>
                <c:pt idx="13">
                  <c:v>134.35819965390101</c:v>
                </c:pt>
                <c:pt idx="14">
                  <c:v>136.42310289159042</c:v>
                </c:pt>
                <c:pt idx="15">
                  <c:v>137.35463406193674</c:v>
                </c:pt>
                <c:pt idx="16">
                  <c:v>140.66334819667298</c:v>
                </c:pt>
                <c:pt idx="17">
                  <c:v>139.2762577548265</c:v>
                </c:pt>
                <c:pt idx="18">
                  <c:v>145.18436420238555</c:v>
                </c:pt>
                <c:pt idx="19">
                  <c:v>156.50348938382311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AE-4A59-89CB-EB1290768A61}"/>
            </c:ext>
          </c:extLst>
        </c:ser>
        <c:ser>
          <c:idx val="2"/>
          <c:order val="2"/>
          <c:tx>
            <c:strRef>
              <c:f>Sheet1!$A$60</c:f>
              <c:strCache>
                <c:ptCount val="1"/>
                <c:pt idx="0">
                  <c:v>Evolutie uitgaven / capita werknemers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Sheet1!$C$6:$V$6</c:f>
              <c:strCache>
                <c:ptCount val="20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</c:strCache>
            </c:strRef>
          </c:cat>
          <c:val>
            <c:numRef>
              <c:f>Sheet1!$C$60:$V$60</c:f>
              <c:numCache>
                <c:formatCode>0.0</c:formatCode>
                <c:ptCount val="20"/>
                <c:pt idx="0" formatCode="General">
                  <c:v>100</c:v>
                </c:pt>
                <c:pt idx="1">
                  <c:v>107.33790889979548</c:v>
                </c:pt>
                <c:pt idx="2">
                  <c:v>110.51726458147803</c:v>
                </c:pt>
                <c:pt idx="3">
                  <c:v>112.14953245156252</c:v>
                </c:pt>
                <c:pt idx="4">
                  <c:v>114.90217949725526</c:v>
                </c:pt>
                <c:pt idx="5">
                  <c:v>114.19268594738307</c:v>
                </c:pt>
                <c:pt idx="6">
                  <c:v>123.8860806999802</c:v>
                </c:pt>
                <c:pt idx="7">
                  <c:v>127.45152597288633</c:v>
                </c:pt>
                <c:pt idx="8">
                  <c:v>133.50078634253822</c:v>
                </c:pt>
                <c:pt idx="9">
                  <c:v>136.74870313670456</c:v>
                </c:pt>
                <c:pt idx="10">
                  <c:v>142.83613200452086</c:v>
                </c:pt>
                <c:pt idx="11">
                  <c:v>149.21582207264026</c:v>
                </c:pt>
                <c:pt idx="12">
                  <c:v>128.03598983348272</c:v>
                </c:pt>
                <c:pt idx="13">
                  <c:v>130.72816268402306</c:v>
                </c:pt>
                <c:pt idx="14">
                  <c:v>136.20995985517024</c:v>
                </c:pt>
                <c:pt idx="15">
                  <c:v>138.40601644857327</c:v>
                </c:pt>
                <c:pt idx="16">
                  <c:v>141.48963933553273</c:v>
                </c:pt>
                <c:pt idx="17">
                  <c:v>158.05681017691703</c:v>
                </c:pt>
                <c:pt idx="18">
                  <c:v>156.78151832119917</c:v>
                </c:pt>
                <c:pt idx="19">
                  <c:v>163.96060471578971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AE-4A59-89CB-EB1290768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1394096"/>
        <c:axId val="1131396016"/>
      </c:lineChart>
      <c:catAx>
        <c:axId val="113139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131396016"/>
        <c:crosses val="autoZero"/>
        <c:auto val="1"/>
        <c:lblAlgn val="ctr"/>
        <c:lblOffset val="100"/>
        <c:noMultiLvlLbl val="0"/>
      </c:catAx>
      <c:valAx>
        <c:axId val="1131396016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13139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Groei uitgaven werknemers</a:t>
            </a:r>
            <a:r>
              <a:rPr lang="nl-BE" baseline="0"/>
              <a:t> en zelfstandigen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Sheet1!$A$41</c:f>
              <c:strCache>
                <c:ptCount val="1"/>
                <c:pt idx="0">
                  <c:v>Evolutie uitgaven / capita zelfstandigen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Sheet1!$C$6:$V$6</c:f>
              <c:strCache>
                <c:ptCount val="20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</c:strCache>
            </c:strRef>
          </c:cat>
          <c:val>
            <c:numRef>
              <c:f>Sheet1!$C$41:$V$41</c:f>
              <c:numCache>
                <c:formatCode>0.0</c:formatCode>
                <c:ptCount val="20"/>
                <c:pt idx="0">
                  <c:v>100</c:v>
                </c:pt>
                <c:pt idx="1">
                  <c:v>106.39702492973244</c:v>
                </c:pt>
                <c:pt idx="2">
                  <c:v>109.09154575492792</c:v>
                </c:pt>
                <c:pt idx="3">
                  <c:v>114.09501328518661</c:v>
                </c:pt>
                <c:pt idx="4">
                  <c:v>116.29141802651327</c:v>
                </c:pt>
                <c:pt idx="5">
                  <c:v>130.94307758542308</c:v>
                </c:pt>
                <c:pt idx="6">
                  <c:v>137.02573532509359</c:v>
                </c:pt>
                <c:pt idx="7">
                  <c:v>141.91033909158381</c:v>
                </c:pt>
                <c:pt idx="8">
                  <c:v>147.10573690419471</c:v>
                </c:pt>
                <c:pt idx="9">
                  <c:v>145.83140166704496</c:v>
                </c:pt>
                <c:pt idx="10">
                  <c:v>149.72889230843776</c:v>
                </c:pt>
                <c:pt idx="11">
                  <c:v>153.82081752950222</c:v>
                </c:pt>
                <c:pt idx="12">
                  <c:v>134.7592873743896</c:v>
                </c:pt>
                <c:pt idx="13">
                  <c:v>133.57274979336444</c:v>
                </c:pt>
                <c:pt idx="14">
                  <c:v>141.74408204507762</c:v>
                </c:pt>
                <c:pt idx="15">
                  <c:v>144.29033909817684</c:v>
                </c:pt>
                <c:pt idx="16">
                  <c:v>145.85267793997528</c:v>
                </c:pt>
                <c:pt idx="17">
                  <c:v>212.5035629663567</c:v>
                </c:pt>
                <c:pt idx="18">
                  <c:v>186.84333517904591</c:v>
                </c:pt>
                <c:pt idx="19">
                  <c:v>176.77995111446427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4E-464B-9F02-8EF4BAF7ADB0}"/>
            </c:ext>
          </c:extLst>
        </c:ser>
        <c:ser>
          <c:idx val="1"/>
          <c:order val="1"/>
          <c:tx>
            <c:strRef>
              <c:f>Sheet1!$A$60</c:f>
              <c:strCache>
                <c:ptCount val="1"/>
                <c:pt idx="0">
                  <c:v>Evolutie uitgaven / capita werknemers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Sheet1!$C$6:$V$6</c:f>
              <c:strCache>
                <c:ptCount val="20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</c:strCache>
            </c:strRef>
          </c:cat>
          <c:val>
            <c:numRef>
              <c:f>Sheet1!$C$60:$V$60</c:f>
              <c:numCache>
                <c:formatCode>0.0</c:formatCode>
                <c:ptCount val="20"/>
                <c:pt idx="0" formatCode="General">
                  <c:v>100</c:v>
                </c:pt>
                <c:pt idx="1">
                  <c:v>107.33790889979548</c:v>
                </c:pt>
                <c:pt idx="2">
                  <c:v>110.51726458147803</c:v>
                </c:pt>
                <c:pt idx="3">
                  <c:v>112.14953245156252</c:v>
                </c:pt>
                <c:pt idx="4">
                  <c:v>114.90217949725526</c:v>
                </c:pt>
                <c:pt idx="5">
                  <c:v>114.19268594738307</c:v>
                </c:pt>
                <c:pt idx="6">
                  <c:v>123.8860806999802</c:v>
                </c:pt>
                <c:pt idx="7">
                  <c:v>127.45152597288633</c:v>
                </c:pt>
                <c:pt idx="8">
                  <c:v>133.50078634253822</c:v>
                </c:pt>
                <c:pt idx="9">
                  <c:v>136.74870313670456</c:v>
                </c:pt>
                <c:pt idx="10">
                  <c:v>142.83613200452086</c:v>
                </c:pt>
                <c:pt idx="11">
                  <c:v>149.21582207264026</c:v>
                </c:pt>
                <c:pt idx="12">
                  <c:v>128.03598983348272</c:v>
                </c:pt>
                <c:pt idx="13">
                  <c:v>130.72816268402306</c:v>
                </c:pt>
                <c:pt idx="14">
                  <c:v>136.20995985517024</c:v>
                </c:pt>
                <c:pt idx="15">
                  <c:v>138.40601644857327</c:v>
                </c:pt>
                <c:pt idx="16">
                  <c:v>141.48963933553273</c:v>
                </c:pt>
                <c:pt idx="17">
                  <c:v>158.05681017691703</c:v>
                </c:pt>
                <c:pt idx="18">
                  <c:v>156.78151832119917</c:v>
                </c:pt>
                <c:pt idx="19">
                  <c:v>163.96060471578971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4E-464B-9F02-8EF4BAF7A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994448"/>
        <c:axId val="1558000208"/>
      </c:lineChart>
      <c:catAx>
        <c:axId val="155799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558000208"/>
        <c:crosses val="autoZero"/>
        <c:auto val="1"/>
        <c:lblAlgn val="ctr"/>
        <c:lblOffset val="100"/>
        <c:noMultiLvlLbl val="0"/>
      </c:catAx>
      <c:valAx>
        <c:axId val="155800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55799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655405657844132E-2"/>
          <c:y val="0.13062701125729587"/>
          <c:w val="0.92026827374847631"/>
          <c:h val="0.80658902787081888"/>
        </c:manualLayout>
      </c:layout>
      <c:lineChart>
        <c:grouping val="standard"/>
        <c:varyColors val="0"/>
        <c:ser>
          <c:idx val="0"/>
          <c:order val="0"/>
          <c:tx>
            <c:strRef>
              <c:f>Sheet1!$A$31</c:f>
              <c:strCache>
                <c:ptCount val="1"/>
                <c:pt idx="0">
                  <c:v>Evolutie bijdragen / capita zelfstandigen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Sheet1!$C$6:$V$6</c:f>
              <c:strCache>
                <c:ptCount val="20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</c:strCache>
            </c:strRef>
          </c:cat>
          <c:val>
            <c:numRef>
              <c:f>Sheet1!$C$31:$V$31</c:f>
              <c:numCache>
                <c:formatCode>0.0</c:formatCode>
                <c:ptCount val="20"/>
                <c:pt idx="0">
                  <c:v>100</c:v>
                </c:pt>
                <c:pt idx="1">
                  <c:v>103.89452179883713</c:v>
                </c:pt>
                <c:pt idx="2">
                  <c:v>108.0465738192342</c:v>
                </c:pt>
                <c:pt idx="3">
                  <c:v>111.92145998583368</c:v>
                </c:pt>
                <c:pt idx="4">
                  <c:v>113.85895056186091</c:v>
                </c:pt>
                <c:pt idx="5">
                  <c:v>126.63728061867303</c:v>
                </c:pt>
                <c:pt idx="6">
                  <c:v>130.7562186341917</c:v>
                </c:pt>
                <c:pt idx="7">
                  <c:v>132.84263363508458</c:v>
                </c:pt>
                <c:pt idx="8">
                  <c:v>133.08226057590559</c:v>
                </c:pt>
                <c:pt idx="9">
                  <c:v>135.67101992221009</c:v>
                </c:pt>
                <c:pt idx="10">
                  <c:v>140.04099114140286</c:v>
                </c:pt>
                <c:pt idx="11">
                  <c:v>138.78668624646403</c:v>
                </c:pt>
                <c:pt idx="12">
                  <c:v>144.53788884467005</c:v>
                </c:pt>
                <c:pt idx="13">
                  <c:v>145.16838739008514</c:v>
                </c:pt>
                <c:pt idx="14">
                  <c:v>144.51451671899386</c:v>
                </c:pt>
                <c:pt idx="15">
                  <c:v>144.73183798657291</c:v>
                </c:pt>
                <c:pt idx="16">
                  <c:v>143.62667308837788</c:v>
                </c:pt>
                <c:pt idx="17">
                  <c:v>129.55526155389643</c:v>
                </c:pt>
                <c:pt idx="18">
                  <c:v>137.5145320466207</c:v>
                </c:pt>
                <c:pt idx="19">
                  <c:v>139.79438802673388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AC-48D3-9BE1-46E5A2D3A004}"/>
            </c:ext>
          </c:extLst>
        </c:ser>
        <c:ser>
          <c:idx val="1"/>
          <c:order val="1"/>
          <c:tx>
            <c:strRef>
              <c:f>Sheet1!$A$51</c:f>
              <c:strCache>
                <c:ptCount val="1"/>
                <c:pt idx="0">
                  <c:v>Evolutie bijdragen / capita werknemers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Sheet1!$C$6:$V$6</c:f>
              <c:strCache>
                <c:ptCount val="20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</c:strCache>
            </c:strRef>
          </c:cat>
          <c:val>
            <c:numRef>
              <c:f>Sheet1!$C$51:$V$51</c:f>
              <c:numCache>
                <c:formatCode>0.0</c:formatCode>
                <c:ptCount val="20"/>
                <c:pt idx="0">
                  <c:v>100</c:v>
                </c:pt>
                <c:pt idx="1">
                  <c:v>101.24320030784784</c:v>
                </c:pt>
                <c:pt idx="2">
                  <c:v>103.41617801015941</c:v>
                </c:pt>
                <c:pt idx="3">
                  <c:v>104.51765919938036</c:v>
                </c:pt>
                <c:pt idx="4">
                  <c:v>108.11042877214247</c:v>
                </c:pt>
                <c:pt idx="5">
                  <c:v>111.32798803023088</c:v>
                </c:pt>
                <c:pt idx="6">
                  <c:v>114.18795768712299</c:v>
                </c:pt>
                <c:pt idx="7">
                  <c:v>113.70526074461073</c:v>
                </c:pt>
                <c:pt idx="8">
                  <c:v>118.58998094872081</c:v>
                </c:pt>
                <c:pt idx="9">
                  <c:v>124.4576056364846</c:v>
                </c:pt>
                <c:pt idx="10">
                  <c:v>127.73691558003657</c:v>
                </c:pt>
                <c:pt idx="11">
                  <c:v>131.6074535191907</c:v>
                </c:pt>
                <c:pt idx="12">
                  <c:v>135.93584224631834</c:v>
                </c:pt>
                <c:pt idx="13">
                  <c:v>134.35819965390101</c:v>
                </c:pt>
                <c:pt idx="14">
                  <c:v>136.42310289159042</c:v>
                </c:pt>
                <c:pt idx="15">
                  <c:v>137.35463406193674</c:v>
                </c:pt>
                <c:pt idx="16">
                  <c:v>140.66334819667298</c:v>
                </c:pt>
                <c:pt idx="17">
                  <c:v>139.2762577548265</c:v>
                </c:pt>
                <c:pt idx="18">
                  <c:v>145.18436420238555</c:v>
                </c:pt>
                <c:pt idx="19">
                  <c:v>156.50348938382311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AC-48D3-9BE1-46E5A2D3A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9146272"/>
        <c:axId val="1529150592"/>
      </c:lineChart>
      <c:catAx>
        <c:axId val="152914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529150592"/>
        <c:crosses val="autoZero"/>
        <c:auto val="1"/>
        <c:lblAlgn val="ctr"/>
        <c:lblOffset val="100"/>
        <c:noMultiLvlLbl val="0"/>
      </c:catAx>
      <c:valAx>
        <c:axId val="152915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52914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Sheet1!$A$71</c:f>
              <c:strCache>
                <c:ptCount val="1"/>
                <c:pt idx="0">
                  <c:v>Evolutie venootschapsbijdragen / capita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Sheet1!$C$6:$V$6</c:f>
              <c:strCache>
                <c:ptCount val="20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</c:strCache>
            </c:strRef>
          </c:cat>
          <c:val>
            <c:numRef>
              <c:f>Sheet1!$C$71:$V$71</c:f>
              <c:numCache>
                <c:formatCode>0.0</c:formatCode>
                <c:ptCount val="20"/>
                <c:pt idx="0" formatCode="General">
                  <c:v>100</c:v>
                </c:pt>
                <c:pt idx="1">
                  <c:v>113.08246080634592</c:v>
                </c:pt>
                <c:pt idx="2">
                  <c:v>169.18614899140459</c:v>
                </c:pt>
                <c:pt idx="3">
                  <c:v>151.12898489687379</c:v>
                </c:pt>
                <c:pt idx="4">
                  <c:v>154.49751091510612</c:v>
                </c:pt>
                <c:pt idx="5">
                  <c:v>153.52562207486702</c:v>
                </c:pt>
                <c:pt idx="6">
                  <c:v>148.67322268233141</c:v>
                </c:pt>
                <c:pt idx="7">
                  <c:v>153.11705696012007</c:v>
                </c:pt>
                <c:pt idx="8">
                  <c:v>153.30082225857677</c:v>
                </c:pt>
                <c:pt idx="9">
                  <c:v>154.12677263356849</c:v>
                </c:pt>
                <c:pt idx="10">
                  <c:v>153.28085066169993</c:v>
                </c:pt>
                <c:pt idx="11">
                  <c:v>155.75395917946662</c:v>
                </c:pt>
                <c:pt idx="12">
                  <c:v>153.19894851377438</c:v>
                </c:pt>
                <c:pt idx="13">
                  <c:v>152.79032969150742</c:v>
                </c:pt>
                <c:pt idx="14">
                  <c:v>151.95686086144104</c:v>
                </c:pt>
                <c:pt idx="15">
                  <c:v>151.13040095990095</c:v>
                </c:pt>
                <c:pt idx="16">
                  <c:v>151.11261718784067</c:v>
                </c:pt>
                <c:pt idx="17">
                  <c:v>136.92892933378263</c:v>
                </c:pt>
                <c:pt idx="18">
                  <c:v>135.84285838440556</c:v>
                </c:pt>
                <c:pt idx="19">
                  <c:v>134.94777401238406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FE-472F-9127-D084A6C5E5BD}"/>
            </c:ext>
          </c:extLst>
        </c:ser>
        <c:ser>
          <c:idx val="1"/>
          <c:order val="1"/>
          <c:tx>
            <c:strRef>
              <c:f>Sheet1!$A$21</c:f>
              <c:strCache>
                <c:ptCount val="1"/>
                <c:pt idx="0">
                  <c:v>Evolutie vennootschappen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Sheet1!$C$21:$V$21</c:f>
              <c:numCache>
                <c:formatCode>0.0</c:formatCode>
                <c:ptCount val="20"/>
                <c:pt idx="0">
                  <c:v>100</c:v>
                </c:pt>
                <c:pt idx="1">
                  <c:v>102.50467092043571</c:v>
                </c:pt>
                <c:pt idx="2">
                  <c:v>104.27403908297201</c:v>
                </c:pt>
                <c:pt idx="3">
                  <c:v>109.68790025969143</c:v>
                </c:pt>
                <c:pt idx="4">
                  <c:v>113.94137554200304</c:v>
                </c:pt>
                <c:pt idx="5">
                  <c:v>121.46420136073608</c:v>
                </c:pt>
                <c:pt idx="6">
                  <c:v>126.11073900424203</c:v>
                </c:pt>
                <c:pt idx="7">
                  <c:v>131.00345471851097</c:v>
                </c:pt>
                <c:pt idx="8">
                  <c:v>136.44463637325063</c:v>
                </c:pt>
                <c:pt idx="9">
                  <c:v>140.26832822176004</c:v>
                </c:pt>
                <c:pt idx="10">
                  <c:v>142.25185367974524</c:v>
                </c:pt>
                <c:pt idx="11">
                  <c:v>142.8655362451675</c:v>
                </c:pt>
                <c:pt idx="12">
                  <c:v>147.10226671836995</c:v>
                </c:pt>
                <c:pt idx="13">
                  <c:v>151.81196460676139</c:v>
                </c:pt>
                <c:pt idx="14">
                  <c:v>156.84392662835924</c:v>
                </c:pt>
                <c:pt idx="15">
                  <c:v>161.91907263134391</c:v>
                </c:pt>
                <c:pt idx="16">
                  <c:v>166.20897521768248</c:v>
                </c:pt>
                <c:pt idx="17">
                  <c:v>175.60633835090064</c:v>
                </c:pt>
                <c:pt idx="18">
                  <c:v>184.20964501004684</c:v>
                </c:pt>
                <c:pt idx="19">
                  <c:v>192.45014747182756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FE-472F-9127-D084A6C5E5BD}"/>
            </c:ext>
          </c:extLst>
        </c:ser>
        <c:ser>
          <c:idx val="2"/>
          <c:order val="2"/>
          <c:tx>
            <c:strRef>
              <c:f>Sheet1!$A$80</c:f>
              <c:strCache>
                <c:ptCount val="1"/>
                <c:pt idx="0">
                  <c:v>Evolutie gewone bijdragen / capita zelfstandigen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Sheet1!$C$80:$V$80</c:f>
              <c:numCache>
                <c:formatCode>0.0</c:formatCode>
                <c:ptCount val="20"/>
                <c:pt idx="0" formatCode="General">
                  <c:v>100</c:v>
                </c:pt>
                <c:pt idx="1">
                  <c:v>103.43754482213348</c:v>
                </c:pt>
                <c:pt idx="2">
                  <c:v>105.2070779344717</c:v>
                </c:pt>
                <c:pt idx="3">
                  <c:v>109.71084879599631</c:v>
                </c:pt>
                <c:pt idx="4">
                  <c:v>111.53450489130891</c:v>
                </c:pt>
                <c:pt idx="5">
                  <c:v>124.99166991712922</c:v>
                </c:pt>
                <c:pt idx="6">
                  <c:v>129.38185843545816</c:v>
                </c:pt>
                <c:pt idx="7">
                  <c:v>131.18024909312976</c:v>
                </c:pt>
                <c:pt idx="8">
                  <c:v>131.19395973092992</c:v>
                </c:pt>
                <c:pt idx="9">
                  <c:v>133.82319196344474</c:v>
                </c:pt>
                <c:pt idx="10">
                  <c:v>138.23159719352154</c:v>
                </c:pt>
                <c:pt idx="11">
                  <c:v>136.98177093197808</c:v>
                </c:pt>
                <c:pt idx="12">
                  <c:v>143.03909398222729</c:v>
                </c:pt>
                <c:pt idx="13">
                  <c:v>143.46830515686895</c:v>
                </c:pt>
                <c:pt idx="14">
                  <c:v>142.72922958533272</c:v>
                </c:pt>
                <c:pt idx="15">
                  <c:v>142.78451662974254</c:v>
                </c:pt>
                <c:pt idx="16">
                  <c:v>142.07195394300757</c:v>
                </c:pt>
                <c:pt idx="17">
                  <c:v>127.97809456569505</c:v>
                </c:pt>
                <c:pt idx="18">
                  <c:v>136.27572294014251</c:v>
                </c:pt>
                <c:pt idx="19">
                  <c:v>138.52185232664274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FE-472F-9127-D084A6C5E5BD}"/>
            </c:ext>
          </c:extLst>
        </c:ser>
        <c:ser>
          <c:idx val="3"/>
          <c:order val="3"/>
          <c:tx>
            <c:strRef>
              <c:f>Sheet1!$A$19</c:f>
              <c:strCache>
                <c:ptCount val="1"/>
                <c:pt idx="0">
                  <c:v>Evolutie zelfstandigen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Sheet1!$C$19:$V$19</c:f>
              <c:numCache>
                <c:formatCode>0.0</c:formatCode>
                <c:ptCount val="20"/>
                <c:pt idx="0">
                  <c:v>100</c:v>
                </c:pt>
                <c:pt idx="1">
                  <c:v>100.53819541595759</c:v>
                </c:pt>
                <c:pt idx="2">
                  <c:v>101.90508010388655</c:v>
                </c:pt>
                <c:pt idx="3">
                  <c:v>103.50452446238066</c:v>
                </c:pt>
                <c:pt idx="4">
                  <c:v>106.11024612153673</c:v>
                </c:pt>
                <c:pt idx="5">
                  <c:v>108.45098471656691</c:v>
                </c:pt>
                <c:pt idx="6">
                  <c:v>110.54863015276852</c:v>
                </c:pt>
                <c:pt idx="7">
                  <c:v>112.62685446998452</c:v>
                </c:pt>
                <c:pt idx="8">
                  <c:v>114.5602433235789</c:v>
                </c:pt>
                <c:pt idx="9">
                  <c:v>116.87958577057407</c:v>
                </c:pt>
                <c:pt idx="10">
                  <c:v>118.39542056597752</c:v>
                </c:pt>
                <c:pt idx="11">
                  <c:v>120.19549495873837</c:v>
                </c:pt>
                <c:pt idx="12">
                  <c:v>122.81224386342018</c:v>
                </c:pt>
                <c:pt idx="13">
                  <c:v>125.41533215051041</c:v>
                </c:pt>
                <c:pt idx="14">
                  <c:v>128.59644560605415</c:v>
                </c:pt>
                <c:pt idx="15">
                  <c:v>131.17665647332234</c:v>
                </c:pt>
                <c:pt idx="16">
                  <c:v>134.60464856003929</c:v>
                </c:pt>
                <c:pt idx="17">
                  <c:v>139.09224373175161</c:v>
                </c:pt>
                <c:pt idx="18">
                  <c:v>143.93386286056631</c:v>
                </c:pt>
                <c:pt idx="19">
                  <c:v>146.64426105933981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FE-472F-9127-D084A6C5E5BD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Sheet1!$C$6:$V$6</c:f>
              <c:strCache>
                <c:ptCount val="20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</c:strCache>
            </c:strRef>
          </c:cat>
          <c:val>
            <c:numRef>
              <c:f>'Julie BS - Cijfers'!$B$6:$U$6</c:f>
              <c:numCache>
                <c:formatCode>General</c:formatCode>
                <c:ptCount val="20"/>
                <c:pt idx="0">
                  <c:v>719122</c:v>
                </c:pt>
                <c:pt idx="1">
                  <c:v>717465</c:v>
                </c:pt>
                <c:pt idx="2">
                  <c:v>719042</c:v>
                </c:pt>
                <c:pt idx="3">
                  <c:v>725720</c:v>
                </c:pt>
                <c:pt idx="4">
                  <c:v>739033</c:v>
                </c:pt>
                <c:pt idx="5">
                  <c:v>750095</c:v>
                </c:pt>
                <c:pt idx="6">
                  <c:v>755876</c:v>
                </c:pt>
                <c:pt idx="7">
                  <c:v>765986</c:v>
                </c:pt>
                <c:pt idx="8">
                  <c:v>776292</c:v>
                </c:pt>
                <c:pt idx="9">
                  <c:v>788233</c:v>
                </c:pt>
                <c:pt idx="10">
                  <c:v>795921</c:v>
                </c:pt>
                <c:pt idx="11">
                  <c:v>805537</c:v>
                </c:pt>
                <c:pt idx="12">
                  <c:v>821343</c:v>
                </c:pt>
                <c:pt idx="13">
                  <c:v>836088</c:v>
                </c:pt>
                <c:pt idx="14">
                  <c:v>854642</c:v>
                </c:pt>
                <c:pt idx="15">
                  <c:v>869922</c:v>
                </c:pt>
                <c:pt idx="16">
                  <c:v>890004</c:v>
                </c:pt>
                <c:pt idx="17">
                  <c:v>916316</c:v>
                </c:pt>
                <c:pt idx="18">
                  <c:v>945661</c:v>
                </c:pt>
                <c:pt idx="19">
                  <c:v>960661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E0-4DF0-9973-49BDB170A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8189760"/>
        <c:axId val="1528191200"/>
      </c:lineChart>
      <c:catAx>
        <c:axId val="152818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528191200"/>
        <c:crosses val="autoZero"/>
        <c:auto val="1"/>
        <c:lblAlgn val="ctr"/>
        <c:lblOffset val="100"/>
        <c:noMultiLvlLbl val="0"/>
      </c:catAx>
      <c:valAx>
        <c:axId val="152819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52818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Sheet1!$A$90</c:f>
              <c:strCache>
                <c:ptCount val="1"/>
                <c:pt idx="0">
                  <c:v>Zelfstandigen: gecorrigeerde uitgaven pensioenen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Sheet1!$S$6:$X$6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cat>
          <c:val>
            <c:numRef>
              <c:f>Sheet1!$S$90:$X$90</c:f>
              <c:numCache>
                <c:formatCode>0.0</c:formatCode>
                <c:ptCount val="6"/>
                <c:pt idx="0">
                  <c:v>100</c:v>
                </c:pt>
                <c:pt idx="1">
                  <c:v>101.93107818369498</c:v>
                </c:pt>
                <c:pt idx="2">
                  <c:v>105.78092949942182</c:v>
                </c:pt>
                <c:pt idx="3">
                  <c:v>117.0298231368501</c:v>
                </c:pt>
                <c:pt idx="4">
                  <c:v>127.89269481116109</c:v>
                </c:pt>
                <c:pt idx="5">
                  <c:v>134.87067647510096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F4-406D-AC40-C2A11CE207F1}"/>
            </c:ext>
          </c:extLst>
        </c:ser>
        <c:ser>
          <c:idx val="1"/>
          <c:order val="1"/>
          <c:tx>
            <c:strRef>
              <c:f>Sheet1!$A$15</c:f>
              <c:strCache>
                <c:ptCount val="1"/>
                <c:pt idx="0">
                  <c:v>Gepensioneeerden met zelfstandigenpensioen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Sheet1!$S$16:$X$16</c:f>
              <c:numCache>
                <c:formatCode>#,##0</c:formatCode>
                <c:ptCount val="6"/>
                <c:pt idx="0" formatCode="_(* #,##0.00_);_(* \(#,##0.00\);_(* &quot;-&quot;??_);_(@_)">
                  <c:v>100</c:v>
                </c:pt>
                <c:pt idx="1">
                  <c:v>100.76683872888061</c:v>
                </c:pt>
                <c:pt idx="2">
                  <c:v>101.21378273163778</c:v>
                </c:pt>
                <c:pt idx="3">
                  <c:v>102.58422301769448</c:v>
                </c:pt>
                <c:pt idx="4">
                  <c:v>104.10599450131986</c:v>
                </c:pt>
                <c:pt idx="5">
                  <c:v>106.04369179192744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F4-406D-AC40-C2A11CE20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998112"/>
        <c:axId val="1108995712"/>
      </c:lineChart>
      <c:catAx>
        <c:axId val="110899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108995712"/>
        <c:crosses val="autoZero"/>
        <c:auto val="1"/>
        <c:lblAlgn val="ctr"/>
        <c:lblOffset val="100"/>
        <c:noMultiLvlLbl val="0"/>
      </c:catAx>
      <c:valAx>
        <c:axId val="110899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10899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nl-BE"/>
              <a:t>(B) Aantal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Zelfstandigen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'Oplijsting (sub)categorieën KSZ'!$C$14:$W$14</c:f>
              <c:numCache>
                <c:formatCode>General</c:formatCode>
                <c:ptCount val="2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'Oplijsting (sub)categorieën KSZ'!$C$21:$W$21</c:f>
              <c:numCache>
                <c:formatCode>0.0</c:formatCode>
                <c:ptCount val="21"/>
                <c:pt idx="0" formatCode="General">
                  <c:v>100</c:v>
                </c:pt>
                <c:pt idx="1">
                  <c:v>99.769580126876946</c:v>
                </c:pt>
                <c:pt idx="2">
                  <c:v>99.988875322963295</c:v>
                </c:pt>
                <c:pt idx="3">
                  <c:v>100.91750773860348</c:v>
                </c:pt>
                <c:pt idx="4">
                  <c:v>102.7687930559766</c:v>
                </c:pt>
                <c:pt idx="5">
                  <c:v>104.30705777322903</c:v>
                </c:pt>
                <c:pt idx="6">
                  <c:v>105.110954747595</c:v>
                </c:pt>
                <c:pt idx="7">
                  <c:v>106.51683580811046</c:v>
                </c:pt>
                <c:pt idx="8">
                  <c:v>107.9499723273659</c:v>
                </c:pt>
                <c:pt idx="9">
                  <c:v>109.61046943355927</c:v>
                </c:pt>
                <c:pt idx="10">
                  <c:v>110.67955089678804</c:v>
                </c:pt>
                <c:pt idx="11">
                  <c:v>112.01673707660177</c:v>
                </c:pt>
                <c:pt idx="12">
                  <c:v>114.21469514213169</c:v>
                </c:pt>
                <c:pt idx="13">
                  <c:v>116.26511217846212</c:v>
                </c:pt>
                <c:pt idx="14">
                  <c:v>118.84520290020335</c:v>
                </c:pt>
                <c:pt idx="15">
                  <c:v>120.97001621421683</c:v>
                </c:pt>
                <c:pt idx="16">
                  <c:v>123.7625882673594</c:v>
                </c:pt>
                <c:pt idx="17">
                  <c:v>127.42149454473653</c:v>
                </c:pt>
                <c:pt idx="18">
                  <c:v>131.50216514026832</c:v>
                </c:pt>
                <c:pt idx="19">
                  <c:v>133.5880420846533</c:v>
                </c:pt>
                <c:pt idx="20">
                  <c:v>131.43792013038129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F-4911-B199-44CB22743480}"/>
            </c:ext>
          </c:extLst>
        </c:ser>
        <c:ser>
          <c:idx val="1"/>
          <c:order val="1"/>
          <c:tx>
            <c:v>Werknemers</c:v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'Oplijsting (sub)categorieën KSZ'!$C$14:$W$14</c:f>
              <c:numCache>
                <c:formatCode>General</c:formatCode>
                <c:ptCount val="2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'Oplijsting (sub)categorieën KSZ'!$C$22:$W$22</c:f>
              <c:numCache>
                <c:formatCode>0.0</c:formatCode>
                <c:ptCount val="21"/>
                <c:pt idx="0" formatCode="General">
                  <c:v>100</c:v>
                </c:pt>
                <c:pt idx="1">
                  <c:v>100.88025649392934</c:v>
                </c:pt>
                <c:pt idx="2">
                  <c:v>102.09201763615263</c:v>
                </c:pt>
                <c:pt idx="3">
                  <c:v>103.96447600052095</c:v>
                </c:pt>
                <c:pt idx="4">
                  <c:v>106.30151499409541</c:v>
                </c:pt>
                <c:pt idx="5">
                  <c:v>107.25376773017211</c:v>
                </c:pt>
                <c:pt idx="6">
                  <c:v>106.85222771299253</c:v>
                </c:pt>
                <c:pt idx="7">
                  <c:v>108.3536127626509</c:v>
                </c:pt>
                <c:pt idx="8">
                  <c:v>109.00149114168184</c:v>
                </c:pt>
                <c:pt idx="9">
                  <c:v>108.79118016766927</c:v>
                </c:pt>
                <c:pt idx="10">
                  <c:v>108.43090628928145</c:v>
                </c:pt>
                <c:pt idx="11">
                  <c:v>109.07538972356073</c:v>
                </c:pt>
                <c:pt idx="12">
                  <c:v>109.82862845695367</c:v>
                </c:pt>
                <c:pt idx="13">
                  <c:v>111.25348091587409</c:v>
                </c:pt>
                <c:pt idx="14">
                  <c:v>112.91325769825667</c:v>
                </c:pt>
                <c:pt idx="15">
                  <c:v>114.55096733975343</c:v>
                </c:pt>
                <c:pt idx="16">
                  <c:v>116.09885727915659</c:v>
                </c:pt>
                <c:pt idx="17">
                  <c:v>115.50690768823279</c:v>
                </c:pt>
                <c:pt idx="18">
                  <c:v>117.62558734739204</c:v>
                </c:pt>
                <c:pt idx="19">
                  <c:v>119.11102201007063</c:v>
                </c:pt>
                <c:pt idx="20">
                  <c:v>116.85859323440185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F-4911-B199-44CB22743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9509727"/>
        <c:axId val="1439510207"/>
      </c:lineChart>
      <c:catAx>
        <c:axId val="143950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439510207"/>
        <c:crosses val="autoZero"/>
        <c:auto val="1"/>
        <c:lblAlgn val="r"/>
        <c:lblOffset val="100"/>
        <c:noMultiLvlLbl val="0"/>
      </c:catAx>
      <c:valAx>
        <c:axId val="143951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nl-BE"/>
                  <a:t>Procentuele groei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nl-B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43950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nl-BE"/>
              <a:t>(A)</a:t>
            </a:r>
            <a:r>
              <a:rPr lang="nl-BE" baseline="0"/>
              <a:t> Zelfstandigen (Z1)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Bijdragen per capita</c:v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'Julie BS - Cijfers'!$B$1:$V$1</c:f>
              <c:numCache>
                <c:formatCode>General</c:formatCode>
                <c:ptCount val="2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'Julie BS - Cijfers'!$B$18:$V$18</c:f>
              <c:numCache>
                <c:formatCode>0.00</c:formatCode>
                <c:ptCount val="21"/>
                <c:pt idx="0" formatCode="General">
                  <c:v>100</c:v>
                </c:pt>
                <c:pt idx="1">
                  <c:v>102.54233345899017</c:v>
                </c:pt>
                <c:pt idx="2">
                  <c:v>104.93783446704373</c:v>
                </c:pt>
                <c:pt idx="3">
                  <c:v>107.4717913854208</c:v>
                </c:pt>
                <c:pt idx="4">
                  <c:v>108.09290207644854</c:v>
                </c:pt>
                <c:pt idx="5">
                  <c:v>115.85945837746415</c:v>
                </c:pt>
                <c:pt idx="6">
                  <c:v>121.07561141693616</c:v>
                </c:pt>
                <c:pt idx="7">
                  <c:v>121.01662286656645</c:v>
                </c:pt>
                <c:pt idx="8">
                  <c:v>117.52892456892137</c:v>
                </c:pt>
                <c:pt idx="9">
                  <c:v>117.06585495192431</c:v>
                </c:pt>
                <c:pt idx="10">
                  <c:v>119.88794307736974</c:v>
                </c:pt>
                <c:pt idx="11">
                  <c:v>118.7768487291191</c:v>
                </c:pt>
                <c:pt idx="12">
                  <c:v>123.27160174385274</c:v>
                </c:pt>
                <c:pt idx="13">
                  <c:v>121.80157940647918</c:v>
                </c:pt>
                <c:pt idx="14">
                  <c:v>119.09445356545712</c:v>
                </c:pt>
                <c:pt idx="15">
                  <c:v>117.12211523383604</c:v>
                </c:pt>
                <c:pt idx="16">
                  <c:v>114.92368375677648</c:v>
                </c:pt>
                <c:pt idx="17">
                  <c:v>103.27546607941535</c:v>
                </c:pt>
                <c:pt idx="18">
                  <c:v>107.30166276762766</c:v>
                </c:pt>
                <c:pt idx="19">
                  <c:v>99.82263206017528</c:v>
                </c:pt>
                <c:pt idx="20">
                  <c:v>107.36972833382379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F6-4107-B490-200860FEC5FF}"/>
            </c:ext>
          </c:extLst>
        </c:ser>
        <c:ser>
          <c:idx val="2"/>
          <c:order val="1"/>
          <c:tx>
            <c:v>Uitgaven per capita</c:v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'Julie BS - Cijfers'!$B$1:$V$1</c:f>
              <c:numCache>
                <c:formatCode>General</c:formatCode>
                <c:ptCount val="2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'Julie BS - Cijfers'!$B$19:$V$19</c:f>
              <c:numCache>
                <c:formatCode>0.00</c:formatCode>
                <c:ptCount val="21"/>
                <c:pt idx="0" formatCode="General">
                  <c:v>100</c:v>
                </c:pt>
                <c:pt idx="1">
                  <c:v>105.01226648421064</c:v>
                </c:pt>
                <c:pt idx="2">
                  <c:v>105.95274024456516</c:v>
                </c:pt>
                <c:pt idx="3">
                  <c:v>109.55893058806097</c:v>
                </c:pt>
                <c:pt idx="4">
                  <c:v>110.40218444874623</c:v>
                </c:pt>
                <c:pt idx="5">
                  <c:v>119.79879837287331</c:v>
                </c:pt>
                <c:pt idx="6">
                  <c:v>126.88096105589509</c:v>
                </c:pt>
                <c:pt idx="7">
                  <c:v>129.27709664269364</c:v>
                </c:pt>
                <c:pt idx="8">
                  <c:v>129.9134759317343</c:v>
                </c:pt>
                <c:pt idx="9">
                  <c:v>125.83289876333671</c:v>
                </c:pt>
                <c:pt idx="10">
                  <c:v>128.18167574939801</c:v>
                </c:pt>
                <c:pt idx="11">
                  <c:v>131.64340520852093</c:v>
                </c:pt>
                <c:pt idx="12">
                  <c:v>114.93175483110525</c:v>
                </c:pt>
                <c:pt idx="13">
                  <c:v>112.07241592331307</c:v>
                </c:pt>
                <c:pt idx="14">
                  <c:v>116.8113375773906</c:v>
                </c:pt>
                <c:pt idx="15">
                  <c:v>116.7648387395852</c:v>
                </c:pt>
                <c:pt idx="16">
                  <c:v>116.70483395753777</c:v>
                </c:pt>
                <c:pt idx="17">
                  <c:v>169.39801784705546</c:v>
                </c:pt>
                <c:pt idx="18">
                  <c:v>145.79259546884734</c:v>
                </c:pt>
                <c:pt idx="19">
                  <c:v>126.23282139437714</c:v>
                </c:pt>
                <c:pt idx="20">
                  <c:v>121.11285847199332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F6-4107-B490-200860FEC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0350975"/>
        <c:axId val="1980355775"/>
      </c:lineChart>
      <c:lineChart>
        <c:grouping val="standard"/>
        <c:varyColors val="0"/>
        <c:ser>
          <c:idx val="3"/>
          <c:order val="2"/>
          <c:tx>
            <c:v>Ratio bijdragen/uitgaven</c:v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'Julie BS - Cijfers'!$B$20:$V$20</c:f>
              <c:numCache>
                <c:formatCode>0.00</c:formatCode>
                <c:ptCount val="21"/>
                <c:pt idx="0">
                  <c:v>0.64474409664078791</c:v>
                </c:pt>
                <c:pt idx="1">
                  <c:v>0.62957944216350881</c:v>
                </c:pt>
                <c:pt idx="2">
                  <c:v>0.63856818738923704</c:v>
                </c:pt>
                <c:pt idx="3">
                  <c:v>0.63246147693514754</c:v>
                </c:pt>
                <c:pt idx="4">
                  <c:v>0.63125798507107733</c:v>
                </c:pt>
                <c:pt idx="5">
                  <c:v>0.62354299745450326</c:v>
                </c:pt>
                <c:pt idx="6">
                  <c:v>0.61524428140053611</c:v>
                </c:pt>
                <c:pt idx="7">
                  <c:v>0.60354660813797789</c:v>
                </c:pt>
                <c:pt idx="8">
                  <c:v>0.5832811396730746</c:v>
                </c:pt>
                <c:pt idx="9">
                  <c:v>0.59982341375140802</c:v>
                </c:pt>
                <c:pt idx="10">
                  <c:v>0.60302725101410593</c:v>
                </c:pt>
                <c:pt idx="11">
                  <c:v>0.58172813073615748</c:v>
                </c:pt>
                <c:pt idx="12">
                  <c:v>0.69152896538122943</c:v>
                </c:pt>
                <c:pt idx="13">
                  <c:v>0.70071523520638057</c:v>
                </c:pt>
                <c:pt idx="14">
                  <c:v>0.65734583193276541</c:v>
                </c:pt>
                <c:pt idx="15">
                  <c:v>0.64671688153924956</c:v>
                </c:pt>
                <c:pt idx="16">
                  <c:v>0.63490400657571633</c:v>
                </c:pt>
                <c:pt idx="17">
                  <c:v>0.39307571557683618</c:v>
                </c:pt>
                <c:pt idx="18">
                  <c:v>0.47452419244399319</c:v>
                </c:pt>
                <c:pt idx="19">
                  <c:v>0.5098519705177903</c:v>
                </c:pt>
                <c:pt idx="20">
                  <c:v>0.57158256666170726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F6-4107-B490-200860FEC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0662543"/>
        <c:axId val="1960663503"/>
      </c:lineChart>
      <c:catAx>
        <c:axId val="198035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980355775"/>
        <c:crosses val="autoZero"/>
        <c:auto val="1"/>
        <c:lblAlgn val="ctr"/>
        <c:lblOffset val="100"/>
        <c:noMultiLvlLbl val="0"/>
      </c:catAx>
      <c:valAx>
        <c:axId val="198035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nl-BE"/>
                  <a:t>Procentuele groei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nl-B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980350975"/>
        <c:crosses val="autoZero"/>
        <c:crossBetween val="between"/>
      </c:valAx>
      <c:valAx>
        <c:axId val="1960663503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nl-BE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nl-BE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960662543"/>
        <c:crosses val="max"/>
        <c:crossBetween val="between"/>
      </c:valAx>
      <c:catAx>
        <c:axId val="1960662543"/>
        <c:scaling>
          <c:orientation val="minMax"/>
        </c:scaling>
        <c:delete val="1"/>
        <c:axPos val="b"/>
        <c:majorTickMark val="out"/>
        <c:minorTickMark val="none"/>
        <c:tickLblPos val="nextTo"/>
        <c:crossAx val="19606635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nl-BE"/>
              <a:t>(B)</a:t>
            </a:r>
            <a:r>
              <a:rPr lang="nl-BE" baseline="0"/>
              <a:t> Werknemers (W1)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Bijdragen per capita</c:v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'Julie BS - Cijfers'!$B$1:$V$1</c:f>
              <c:numCache>
                <c:formatCode>General</c:formatCode>
                <c:ptCount val="2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'Julie BS - Cijfers'!$B$45:$V$45</c:f>
              <c:numCache>
                <c:formatCode>0.00</c:formatCode>
                <c:ptCount val="21"/>
                <c:pt idx="0" formatCode="General">
                  <c:v>100</c:v>
                </c:pt>
                <c:pt idx="1">
                  <c:v>99.046632955239502</c:v>
                </c:pt>
                <c:pt idx="2">
                  <c:v>98.325840919233102</c:v>
                </c:pt>
                <c:pt idx="3">
                  <c:v>97.499279641996921</c:v>
                </c:pt>
                <c:pt idx="4">
                  <c:v>98.840437315312371</c:v>
                </c:pt>
                <c:pt idx="5">
                  <c:v>97.222252374782911</c:v>
                </c:pt>
                <c:pt idx="6">
                  <c:v>99.631354459845738</c:v>
                </c:pt>
                <c:pt idx="7">
                  <c:v>96.928347471918983</c:v>
                </c:pt>
                <c:pt idx="8">
                  <c:v>97.491451032672217</c:v>
                </c:pt>
                <c:pt idx="9">
                  <c:v>99.292742724058797</c:v>
                </c:pt>
                <c:pt idx="10">
                  <c:v>100.64374872026208</c:v>
                </c:pt>
                <c:pt idx="11">
                  <c:v>103.23992366741639</c:v>
                </c:pt>
                <c:pt idx="12">
                  <c:v>105.96234587966522</c:v>
                </c:pt>
                <c:pt idx="13">
                  <c:v>102.58195334360121</c:v>
                </c:pt>
                <c:pt idx="14">
                  <c:v>101.78263781898032</c:v>
                </c:pt>
                <c:pt idx="15">
                  <c:v>100.24478524008931</c:v>
                </c:pt>
                <c:pt idx="16">
                  <c:v>100.99802089472109</c:v>
                </c:pt>
                <c:pt idx="17">
                  <c:v>98.863231306252558</c:v>
                </c:pt>
                <c:pt idx="18">
                  <c:v>100.2794463852195</c:v>
                </c:pt>
                <c:pt idx="19">
                  <c:v>98.450252440183618</c:v>
                </c:pt>
                <c:pt idx="20">
                  <c:v>103.58210489932173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FE-4009-83E0-83D9EEB9FF4A}"/>
            </c:ext>
          </c:extLst>
        </c:ser>
        <c:ser>
          <c:idx val="2"/>
          <c:order val="1"/>
          <c:tx>
            <c:v>Uitgaven per capita</c:v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'Julie BS - Cijfers'!$B$1:$V$1</c:f>
              <c:numCache>
                <c:formatCode>General</c:formatCode>
                <c:ptCount val="2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'Julie BS - Cijfers'!$B$46:$V$46</c:f>
              <c:numCache>
                <c:formatCode>0.00</c:formatCode>
                <c:ptCount val="21"/>
                <c:pt idx="0" formatCode="General">
                  <c:v>100</c:v>
                </c:pt>
                <c:pt idx="1">
                  <c:v>105.00911105787006</c:v>
                </c:pt>
                <c:pt idx="2">
                  <c:v>105.07739877023572</c:v>
                </c:pt>
                <c:pt idx="3">
                  <c:v>104.61867123674473</c:v>
                </c:pt>
                <c:pt idx="4">
                  <c:v>105.0498254329157</c:v>
                </c:pt>
                <c:pt idx="5">
                  <c:v>99.723980725458389</c:v>
                </c:pt>
                <c:pt idx="6">
                  <c:v>108.09316734327319</c:v>
                </c:pt>
                <c:pt idx="7">
                  <c:v>108.64638728610245</c:v>
                </c:pt>
                <c:pt idx="8">
                  <c:v>109.7494516013513</c:v>
                </c:pt>
                <c:pt idx="9">
                  <c:v>109.09862622667299</c:v>
                </c:pt>
                <c:pt idx="10">
                  <c:v>112.54040159306838</c:v>
                </c:pt>
                <c:pt idx="11">
                  <c:v>117.05286949043393</c:v>
                </c:pt>
                <c:pt idx="12">
                  <c:v>99.804390185755096</c:v>
                </c:pt>
                <c:pt idx="13">
                  <c:v>99.810434492955849</c:v>
                </c:pt>
                <c:pt idx="14">
                  <c:v>101.62361592298355</c:v>
                </c:pt>
                <c:pt idx="15">
                  <c:v>101.01210992682739</c:v>
                </c:pt>
                <c:pt idx="16">
                  <c:v>101.59130813533905</c:v>
                </c:pt>
                <c:pt idx="17">
                  <c:v>112.19433402321947</c:v>
                </c:pt>
                <c:pt idx="18">
                  <c:v>108.28964914408934</c:v>
                </c:pt>
                <c:pt idx="19">
                  <c:v>103.14123338762549</c:v>
                </c:pt>
                <c:pt idx="20">
                  <c:v>109.18601626034555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FE-4009-83E0-83D9EEB9F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0350975"/>
        <c:axId val="1980355775"/>
      </c:lineChart>
      <c:lineChart>
        <c:grouping val="standard"/>
        <c:varyColors val="0"/>
        <c:ser>
          <c:idx val="3"/>
          <c:order val="2"/>
          <c:tx>
            <c:v>Ratio bijdragen/uitgaven</c:v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'Julie BS - Cijfers'!$B$1:$V$1</c:f>
              <c:numCache>
                <c:formatCode>General</c:formatCode>
                <c:ptCount val="2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'Julie BS - Cijfers'!$B$47:$V$47</c:f>
              <c:numCache>
                <c:formatCode>0.00</c:formatCode>
                <c:ptCount val="21"/>
                <c:pt idx="0">
                  <c:v>0.70986483079918494</c:v>
                </c:pt>
                <c:pt idx="1">
                  <c:v>0.66955829485360263</c:v>
                </c:pt>
                <c:pt idx="2">
                  <c:v>0.66425375241673779</c:v>
                </c:pt>
                <c:pt idx="3">
                  <c:v>0.66155791148874588</c:v>
                </c:pt>
                <c:pt idx="4">
                  <c:v>0.66790544412429942</c:v>
                </c:pt>
                <c:pt idx="5">
                  <c:v>0.69205678744352706</c:v>
                </c:pt>
                <c:pt idx="6">
                  <c:v>0.65429477472271835</c:v>
                </c:pt>
                <c:pt idx="7">
                  <c:v>0.63330246588511963</c:v>
                </c:pt>
                <c:pt idx="8">
                  <c:v>0.63057948246570383</c:v>
                </c:pt>
                <c:pt idx="9">
                  <c:v>0.64606153579749326</c:v>
                </c:pt>
                <c:pt idx="10">
                  <c:v>0.63482497525319759</c:v>
                </c:pt>
                <c:pt idx="11">
                  <c:v>0.62609649182398408</c:v>
                </c:pt>
                <c:pt idx="12">
                  <c:v>0.75366366738934476</c:v>
                </c:pt>
                <c:pt idx="13">
                  <c:v>0.72957623442110797</c:v>
                </c:pt>
                <c:pt idx="14">
                  <c:v>0.71097563610039272</c:v>
                </c:pt>
                <c:pt idx="15">
                  <c:v>0.70447243963624517</c:v>
                </c:pt>
                <c:pt idx="16">
                  <c:v>0.70571926210431724</c:v>
                </c:pt>
                <c:pt idx="17">
                  <c:v>0.62551760366926845</c:v>
                </c:pt>
                <c:pt idx="18">
                  <c:v>0.65735601512718767</c:v>
                </c:pt>
                <c:pt idx="19">
                  <c:v>0.67757936855322454</c:v>
                </c:pt>
                <c:pt idx="20">
                  <c:v>0.67343141444830834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FE-4009-83E0-83D9EEB9F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5769311"/>
        <c:axId val="625777951"/>
      </c:lineChart>
      <c:catAx>
        <c:axId val="198035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980355775"/>
        <c:crosses val="autoZero"/>
        <c:auto val="1"/>
        <c:lblAlgn val="ctr"/>
        <c:lblOffset val="100"/>
        <c:noMultiLvlLbl val="0"/>
      </c:catAx>
      <c:valAx>
        <c:axId val="1980355775"/>
        <c:scaling>
          <c:orientation val="minMax"/>
          <c:max val="1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nl-BE"/>
                  <a:t>Procentuele groei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nl-B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980350975"/>
        <c:crosses val="autoZero"/>
        <c:crossBetween val="between"/>
      </c:valAx>
      <c:valAx>
        <c:axId val="625777951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nl-BE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nl-BE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625769311"/>
        <c:crosses val="max"/>
        <c:crossBetween val="between"/>
      </c:valAx>
      <c:catAx>
        <c:axId val="6257693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57779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nl-BE"/>
              <a:t>Z1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Aantal vennootschappen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'Julie BS - Cijfers'!$B$59:$V$59</c:f>
              <c:numCache>
                <c:formatCode>General</c:formatCode>
                <c:ptCount val="2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'Julie BS - Cijfers'!$B$85:$V$85</c:f>
              <c:numCache>
                <c:formatCode>0.00</c:formatCode>
                <c:ptCount val="21"/>
                <c:pt idx="0" formatCode="General">
                  <c:v>100</c:v>
                </c:pt>
                <c:pt idx="1">
                  <c:v>102.50467092043571</c:v>
                </c:pt>
                <c:pt idx="2">
                  <c:v>104.27403908297201</c:v>
                </c:pt>
                <c:pt idx="3">
                  <c:v>109.68790025969143</c:v>
                </c:pt>
                <c:pt idx="4">
                  <c:v>113.94137554200304</c:v>
                </c:pt>
                <c:pt idx="5">
                  <c:v>121.46420136073608</c:v>
                </c:pt>
                <c:pt idx="6">
                  <c:v>126.11073900424203</c:v>
                </c:pt>
                <c:pt idx="7">
                  <c:v>131.00345471851097</c:v>
                </c:pt>
                <c:pt idx="8">
                  <c:v>136.44463637325063</c:v>
                </c:pt>
                <c:pt idx="9">
                  <c:v>140.26832822176004</c:v>
                </c:pt>
                <c:pt idx="10">
                  <c:v>142.25185367974527</c:v>
                </c:pt>
                <c:pt idx="11">
                  <c:v>142.86553624516753</c:v>
                </c:pt>
                <c:pt idx="12">
                  <c:v>147.10226671836998</c:v>
                </c:pt>
                <c:pt idx="13">
                  <c:v>151.81196460676142</c:v>
                </c:pt>
                <c:pt idx="14">
                  <c:v>156.84392662835927</c:v>
                </c:pt>
                <c:pt idx="15">
                  <c:v>161.91907263134394</c:v>
                </c:pt>
                <c:pt idx="16">
                  <c:v>166.20897521768251</c:v>
                </c:pt>
                <c:pt idx="17">
                  <c:v>175.60633835090067</c:v>
                </c:pt>
                <c:pt idx="18">
                  <c:v>184.20964501004687</c:v>
                </c:pt>
                <c:pt idx="19">
                  <c:v>192.45014747182759</c:v>
                </c:pt>
                <c:pt idx="20">
                  <c:v>200.62513954007591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DD-406B-A32C-19FA77072288}"/>
            </c:ext>
          </c:extLst>
        </c:ser>
        <c:ser>
          <c:idx val="1"/>
          <c:order val="1"/>
          <c:tx>
            <c:v>Vennootschapsbijdragen per capita</c:v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'Julie BS - Cijfers'!$B$59:$V$59</c:f>
              <c:numCache>
                <c:formatCode>General</c:formatCode>
                <c:ptCount val="2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'Julie BS - Cijfers'!$B$86:$V$86</c:f>
              <c:numCache>
                <c:formatCode>0</c:formatCode>
                <c:ptCount val="21"/>
                <c:pt idx="0">
                  <c:v>100</c:v>
                </c:pt>
                <c:pt idx="1">
                  <c:v>110.75742673273608</c:v>
                </c:pt>
                <c:pt idx="2">
                  <c:v>161.22847706337353</c:v>
                </c:pt>
                <c:pt idx="3">
                  <c:v>141.49336290707544</c:v>
                </c:pt>
                <c:pt idx="4">
                  <c:v>142.05463922950295</c:v>
                </c:pt>
                <c:pt idx="5">
                  <c:v>135.09241929248603</c:v>
                </c:pt>
                <c:pt idx="6">
                  <c:v>130.89458758269504</c:v>
                </c:pt>
                <c:pt idx="7">
                  <c:v>131.91902323736039</c:v>
                </c:pt>
                <c:pt idx="8">
                  <c:v>127.57268176514398</c:v>
                </c:pt>
                <c:pt idx="9">
                  <c:v>124.71957142431231</c:v>
                </c:pt>
                <c:pt idx="10">
                  <c:v>122.6706647845584</c:v>
                </c:pt>
                <c:pt idx="11">
                  <c:v>124.22751996345136</c:v>
                </c:pt>
                <c:pt idx="12">
                  <c:v>121.51151486181726</c:v>
                </c:pt>
                <c:pt idx="13">
                  <c:v>118.84352303636248</c:v>
                </c:pt>
                <c:pt idx="14">
                  <c:v>115.73189545813783</c:v>
                </c:pt>
                <c:pt idx="15">
                  <c:v>112.78409165256312</c:v>
                </c:pt>
                <c:pt idx="16">
                  <c:v>111.17432205867703</c:v>
                </c:pt>
                <c:pt idx="17">
                  <c:v>99.99472775419855</c:v>
                </c:pt>
                <c:pt idx="18">
                  <c:v>96.842187390913679</c:v>
                </c:pt>
                <c:pt idx="19">
                  <c:v>87.782413673178041</c:v>
                </c:pt>
                <c:pt idx="20">
                  <c:v>94.447670912187093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DD-406B-A32C-19FA77072288}"/>
            </c:ext>
          </c:extLst>
        </c:ser>
        <c:ser>
          <c:idx val="2"/>
          <c:order val="2"/>
          <c:tx>
            <c:strRef>
              <c:f>'Julie BS - Cijfers'!$A$69</c:f>
              <c:strCache>
                <c:ptCount val="1"/>
                <c:pt idx="0">
                  <c:v>Aantal zelfstandigen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'Julie BS - Cijfers'!$B$59:$V$59</c:f>
              <c:numCache>
                <c:formatCode>General</c:formatCode>
                <c:ptCount val="2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'Julie BS - Cijfers'!$B$69:$V$69</c:f>
              <c:numCache>
                <c:formatCode>0.00</c:formatCode>
                <c:ptCount val="21"/>
                <c:pt idx="0" formatCode="General">
                  <c:v>100</c:v>
                </c:pt>
                <c:pt idx="1">
                  <c:v>99.769580126876946</c:v>
                </c:pt>
                <c:pt idx="2">
                  <c:v>99.988875322963295</c:v>
                </c:pt>
                <c:pt idx="3">
                  <c:v>100.91750773860348</c:v>
                </c:pt>
                <c:pt idx="4">
                  <c:v>102.7687930559766</c:v>
                </c:pt>
                <c:pt idx="5">
                  <c:v>104.30705777322903</c:v>
                </c:pt>
                <c:pt idx="6">
                  <c:v>105.110954747595</c:v>
                </c:pt>
                <c:pt idx="7">
                  <c:v>106.51683580811046</c:v>
                </c:pt>
                <c:pt idx="8">
                  <c:v>107.9499723273659</c:v>
                </c:pt>
                <c:pt idx="9">
                  <c:v>109.61046943355927</c:v>
                </c:pt>
                <c:pt idx="10">
                  <c:v>110.67955089678804</c:v>
                </c:pt>
                <c:pt idx="11">
                  <c:v>112.01673707660177</c:v>
                </c:pt>
                <c:pt idx="12">
                  <c:v>114.21469514213169</c:v>
                </c:pt>
                <c:pt idx="13">
                  <c:v>116.26511217846212</c:v>
                </c:pt>
                <c:pt idx="14">
                  <c:v>118.84520290020335</c:v>
                </c:pt>
                <c:pt idx="15">
                  <c:v>120.97001621421683</c:v>
                </c:pt>
                <c:pt idx="16">
                  <c:v>123.7625882673594</c:v>
                </c:pt>
                <c:pt idx="17">
                  <c:v>127.42149454473653</c:v>
                </c:pt>
                <c:pt idx="18">
                  <c:v>131.50216514026832</c:v>
                </c:pt>
                <c:pt idx="19">
                  <c:v>133.5880420846533</c:v>
                </c:pt>
                <c:pt idx="20">
                  <c:v>131.43792013038129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56-4691-85AF-87985AA73466}"/>
            </c:ext>
          </c:extLst>
        </c:ser>
        <c:ser>
          <c:idx val="3"/>
          <c:order val="3"/>
          <c:tx>
            <c:v>Gewone bijdragen per capita</c:v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'Julie BS - Cijfers'!$B$59:$V$59</c:f>
              <c:numCache>
                <c:formatCode>General</c:formatCode>
                <c:ptCount val="2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'Julie BS - Cijfers'!$B$70:$V$70</c:f>
              <c:numCache>
                <c:formatCode>0.00</c:formatCode>
                <c:ptCount val="21"/>
                <c:pt idx="0" formatCode="General">
                  <c:v>100</c:v>
                </c:pt>
                <c:pt idx="1">
                  <c:v>102.09130404264658</c:v>
                </c:pt>
                <c:pt idx="2">
                  <c:v>102.18003717100385</c:v>
                </c:pt>
                <c:pt idx="3">
                  <c:v>105.34906760520435</c:v>
                </c:pt>
                <c:pt idx="4">
                  <c:v>105.88617105522341</c:v>
                </c:pt>
                <c:pt idx="5">
                  <c:v>114.35390200694221</c:v>
                </c:pt>
                <c:pt idx="6">
                  <c:v>119.80300271727432</c:v>
                </c:pt>
                <c:pt idx="7">
                  <c:v>119.50222829557676</c:v>
                </c:pt>
                <c:pt idx="8">
                  <c:v>115.86130961699482</c:v>
                </c:pt>
                <c:pt idx="9">
                  <c:v>115.47142778596833</c:v>
                </c:pt>
                <c:pt idx="10">
                  <c:v>118.33893576986587</c:v>
                </c:pt>
                <c:pt idx="11">
                  <c:v>117.23216055278459</c:v>
                </c:pt>
                <c:pt idx="12">
                  <c:v>121.99332900266637</c:v>
                </c:pt>
                <c:pt idx="13">
                  <c:v>120.37514831600915</c:v>
                </c:pt>
                <c:pt idx="14">
                  <c:v>117.62319794029227</c:v>
                </c:pt>
                <c:pt idx="15">
                  <c:v>115.54627401241009</c:v>
                </c:pt>
                <c:pt idx="16">
                  <c:v>113.67966655891807</c:v>
                </c:pt>
                <c:pt idx="17">
                  <c:v>102.01822145779271</c:v>
                </c:pt>
                <c:pt idx="18">
                  <c:v>106.33502836907766</c:v>
                </c:pt>
                <c:pt idx="19">
                  <c:v>98.913955647862323</c:v>
                </c:pt>
                <c:pt idx="20">
                  <c:v>106.09360247808172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56-4691-85AF-87985AA73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0350975"/>
        <c:axId val="1980355775"/>
      </c:lineChart>
      <c:lineChart>
        <c:grouping val="standard"/>
        <c:varyColors val="0"/>
        <c:ser>
          <c:idx val="4"/>
          <c:order val="4"/>
          <c:tx>
            <c:v>Aandeel vennootschapsbijdrage in totale bijdragen</c:v>
          </c:tx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'Julie BS - Cijfers'!$B$59:$V$59</c:f>
              <c:numCache>
                <c:formatCode>General</c:formatCode>
                <c:ptCount val="2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'Julie BS - Cijfers'!$B$87:$V$87</c:f>
              <c:numCache>
                <c:formatCode>0%</c:formatCode>
                <c:ptCount val="21"/>
                <c:pt idx="0">
                  <c:v>3.9053021037719099E-2</c:v>
                </c:pt>
                <c:pt idx="1">
                  <c:v>4.3338094037073976E-2</c:v>
                </c:pt>
                <c:pt idx="2">
                  <c:v>6.2573262951487393E-2</c:v>
                </c:pt>
                <c:pt idx="3">
                  <c:v>5.5884120756314375E-2</c:v>
                </c:pt>
                <c:pt idx="4">
                  <c:v>5.690272726298503E-2</c:v>
                </c:pt>
                <c:pt idx="5">
                  <c:v>5.3025982536383465E-2</c:v>
                </c:pt>
                <c:pt idx="6">
                  <c:v>5.0655166052487752E-2</c:v>
                </c:pt>
                <c:pt idx="7">
                  <c:v>5.2357816306751875E-2</c:v>
                </c:pt>
                <c:pt idx="8">
                  <c:v>5.3579849724632637E-2</c:v>
                </c:pt>
                <c:pt idx="9">
                  <c:v>5.324349886857542E-2</c:v>
                </c:pt>
                <c:pt idx="10">
                  <c:v>5.1358270612411237E-2</c:v>
                </c:pt>
                <c:pt idx="11">
                  <c:v>5.2093700568622961E-2</c:v>
                </c:pt>
                <c:pt idx="12">
                  <c:v>4.9579987330929186E-2</c:v>
                </c:pt>
                <c:pt idx="13">
                  <c:v>4.9754666410501081E-2</c:v>
                </c:pt>
                <c:pt idx="14">
                  <c:v>5.008437000896946E-2</c:v>
                </c:pt>
                <c:pt idx="15">
                  <c:v>5.0336596017513717E-2</c:v>
                </c:pt>
                <c:pt idx="16">
                  <c:v>5.0735818999448942E-2</c:v>
                </c:pt>
                <c:pt idx="17">
                  <c:v>5.2111319108983603E-2</c:v>
                </c:pt>
                <c:pt idx="18">
                  <c:v>4.937330916117335E-2</c:v>
                </c:pt>
                <c:pt idx="19">
                  <c:v>4.9474771840157618E-2</c:v>
                </c:pt>
                <c:pt idx="20">
                  <c:v>5.2435897682468577E-2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74-4B3F-806F-4EEADDA0A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7861871"/>
        <c:axId val="1267867631"/>
      </c:lineChart>
      <c:catAx>
        <c:axId val="198035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980355775"/>
        <c:crosses val="autoZero"/>
        <c:auto val="1"/>
        <c:lblAlgn val="ctr"/>
        <c:lblOffset val="100"/>
        <c:noMultiLvlLbl val="0"/>
      </c:catAx>
      <c:valAx>
        <c:axId val="198035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nl-BE"/>
                  <a:t>Procentuele groei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nl-B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980350975"/>
        <c:crosses val="autoZero"/>
        <c:crossBetween val="between"/>
      </c:valAx>
      <c:valAx>
        <c:axId val="126786763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nl-BE"/>
                  <a:t>Aandeel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nl-BE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267861871"/>
        <c:crosses val="max"/>
        <c:crossBetween val="between"/>
      </c:valAx>
      <c:catAx>
        <c:axId val="12678618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678676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nl-BE"/>
              <a:t>(A) Zelfstandigen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2"/>
          <c:order val="0"/>
          <c:tx>
            <c:strRef>
              <c:f>'Julie NS - cijfers'!$A$3</c:f>
              <c:strCache>
                <c:ptCount val="1"/>
                <c:pt idx="0">
                  <c:v>Bijdragen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254-454C-86C4-F23A051D1823}"/>
              </c:ext>
            </c:extLst>
          </c:dPt>
          <c:cat>
            <c:numRef>
              <c:f>'Julie NS - cijfers'!$B$1:$Z$1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'Julie NS - cijfers'!$B$3:$Z$3</c:f>
              <c:numCache>
                <c:formatCode>0%</c:formatCode>
                <c:ptCount val="25"/>
                <c:pt idx="0">
                  <c:v>0.629362015697295</c:v>
                </c:pt>
                <c:pt idx="1">
                  <c:v>0.64287330665629117</c:v>
                </c:pt>
                <c:pt idx="2">
                  <c:v>0.64242936891491342</c:v>
                </c:pt>
                <c:pt idx="3">
                  <c:v>0.64637248175703166</c:v>
                </c:pt>
                <c:pt idx="4">
                  <c:v>0.62836384146696733</c:v>
                </c:pt>
                <c:pt idx="5">
                  <c:v>0.61982132166632542</c:v>
                </c:pt>
                <c:pt idx="6">
                  <c:v>0.61533013891243882</c:v>
                </c:pt>
                <c:pt idx="7">
                  <c:v>0.59370583733662763</c:v>
                </c:pt>
                <c:pt idx="8">
                  <c:v>0.59889919803557878</c:v>
                </c:pt>
                <c:pt idx="9">
                  <c:v>0.60984259379305727</c:v>
                </c:pt>
                <c:pt idx="10">
                  <c:v>0.57909718427133894</c:v>
                </c:pt>
                <c:pt idx="11">
                  <c:v>0.57269890785393496</c:v>
                </c:pt>
                <c:pt idx="12">
                  <c:v>0.57699805380424085</c:v>
                </c:pt>
                <c:pt idx="13">
                  <c:v>0.57450181003287759</c:v>
                </c:pt>
                <c:pt idx="14">
                  <c:v>0.56527133723146283</c:v>
                </c:pt>
                <c:pt idx="15">
                  <c:v>0.66710816759372882</c:v>
                </c:pt>
                <c:pt idx="16">
                  <c:v>0.66518781017929474</c:v>
                </c:pt>
                <c:pt idx="17">
                  <c:v>0.63313136103259249</c:v>
                </c:pt>
                <c:pt idx="18">
                  <c:v>0.622797160181492</c:v>
                </c:pt>
                <c:pt idx="19">
                  <c:v>0.6202807189549161</c:v>
                </c:pt>
                <c:pt idx="20">
                  <c:v>0.40059675705291703</c:v>
                </c:pt>
                <c:pt idx="21">
                  <c:v>0.43537366778030967</c:v>
                </c:pt>
                <c:pt idx="22">
                  <c:v>0.56218022950720548</c:v>
                </c:pt>
                <c:pt idx="23">
                  <c:v>0.54663249362618105</c:v>
                </c:pt>
                <c:pt idx="24">
                  <c:v>0.54675841218936583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4-454C-86C4-F23A051D1823}"/>
            </c:ext>
          </c:extLst>
        </c:ser>
        <c:ser>
          <c:idx val="3"/>
          <c:order val="1"/>
          <c:tx>
            <c:strRef>
              <c:f>'Julie NS - cijfers'!$A$4</c:f>
              <c:strCache>
                <c:ptCount val="1"/>
                <c:pt idx="0">
                  <c:v>Toelagen van publieke overheden  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ysClr val="windowText" lastClr="000000">
                  <a:alpha val="93000"/>
                </a:sysClr>
              </a:solidFill>
            </a:ln>
            <a:effectLst/>
          </c:spPr>
          <c:invertIfNegative val="0"/>
          <c:cat>
            <c:numRef>
              <c:f>'Julie NS - cijfers'!$B$1:$Z$1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'Julie NS - cijfers'!$B$4:$Z$4</c:f>
              <c:numCache>
                <c:formatCode>0%</c:formatCode>
                <c:ptCount val="25"/>
                <c:pt idx="0">
                  <c:v>0.28796942435085987</c:v>
                </c:pt>
                <c:pt idx="1">
                  <c:v>0.29270118623942093</c:v>
                </c:pt>
                <c:pt idx="2">
                  <c:v>0.28555547174809132</c:v>
                </c:pt>
                <c:pt idx="3">
                  <c:v>0.28559351694229468</c:v>
                </c:pt>
                <c:pt idx="4">
                  <c:v>0.27060878744529376</c:v>
                </c:pt>
                <c:pt idx="5">
                  <c:v>0.2585752499248038</c:v>
                </c:pt>
                <c:pt idx="6">
                  <c:v>0.24806478496135773</c:v>
                </c:pt>
                <c:pt idx="7">
                  <c:v>0.23373936642851575</c:v>
                </c:pt>
                <c:pt idx="8">
                  <c:v>0.23036970239950169</c:v>
                </c:pt>
                <c:pt idx="9">
                  <c:v>0.22693300161698829</c:v>
                </c:pt>
                <c:pt idx="10">
                  <c:v>0.24871675987768507</c:v>
                </c:pt>
                <c:pt idx="11">
                  <c:v>0.22718219617755939</c:v>
                </c:pt>
                <c:pt idx="12">
                  <c:v>0.27063721229183407</c:v>
                </c:pt>
                <c:pt idx="13">
                  <c:v>0.27861568800396641</c:v>
                </c:pt>
                <c:pt idx="14">
                  <c:v>0.28622558901872008</c:v>
                </c:pt>
                <c:pt idx="15">
                  <c:v>0.2200802473464864</c:v>
                </c:pt>
                <c:pt idx="16">
                  <c:v>0.21845443846552687</c:v>
                </c:pt>
                <c:pt idx="17">
                  <c:v>5.3371633518446711E-2</c:v>
                </c:pt>
                <c:pt idx="18">
                  <c:v>5.1252941549545107E-2</c:v>
                </c:pt>
                <c:pt idx="19">
                  <c:v>5.1150072465176576E-2</c:v>
                </c:pt>
                <c:pt idx="20">
                  <c:v>0.36838677922250035</c:v>
                </c:pt>
                <c:pt idx="21">
                  <c:v>0.29693014728556455</c:v>
                </c:pt>
                <c:pt idx="22">
                  <c:v>9.9814236967531181E-2</c:v>
                </c:pt>
                <c:pt idx="23">
                  <c:v>0.1220476075944808</c:v>
                </c:pt>
                <c:pt idx="24">
                  <c:v>9.0849797898403806E-2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54-454C-86C4-F23A051D1823}"/>
            </c:ext>
          </c:extLst>
        </c:ser>
        <c:ser>
          <c:idx val="4"/>
          <c:order val="2"/>
          <c:tx>
            <c:strRef>
              <c:f>'Julie NS - cijfers'!$A$5</c:f>
              <c:strCache>
                <c:ptCount val="1"/>
                <c:pt idx="0">
                  <c:v>Alternatieve financiering </c:v>
                </c:pt>
              </c:strCache>
            </c:strRef>
          </c:tx>
          <c:spPr>
            <a:pattFill prst="wdDnDiag">
              <a:fgClr>
                <a:schemeClr val="bg1">
                  <a:lumMod val="6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'Julie NS - cijfers'!$B$1:$Z$1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'Julie NS - cijfers'!$B$5:$Z$5</c:f>
              <c:numCache>
                <c:formatCode>0%</c:formatCode>
                <c:ptCount val="25"/>
                <c:pt idx="0">
                  <c:v>5.3677653757009662E-2</c:v>
                </c:pt>
                <c:pt idx="1">
                  <c:v>3.408238118014114E-2</c:v>
                </c:pt>
                <c:pt idx="2">
                  <c:v>4.0723967532536244E-2</c:v>
                </c:pt>
                <c:pt idx="3">
                  <c:v>3.7876166406325115E-2</c:v>
                </c:pt>
                <c:pt idx="4">
                  <c:v>6.8990635169124445E-2</c:v>
                </c:pt>
                <c:pt idx="5">
                  <c:v>8.9062625994866126E-2</c:v>
                </c:pt>
                <c:pt idx="6">
                  <c:v>0.10354956645309173</c:v>
                </c:pt>
                <c:pt idx="7">
                  <c:v>0.13825126291314258</c:v>
                </c:pt>
                <c:pt idx="8">
                  <c:v>0.14839832592687011</c:v>
                </c:pt>
                <c:pt idx="9">
                  <c:v>0.15164586491760604</c:v>
                </c:pt>
                <c:pt idx="10">
                  <c:v>0.15600211863553862</c:v>
                </c:pt>
                <c:pt idx="11">
                  <c:v>0.17736524421156313</c:v>
                </c:pt>
                <c:pt idx="12">
                  <c:v>0.14427609986057591</c:v>
                </c:pt>
                <c:pt idx="13">
                  <c:v>0.14128956452345631</c:v>
                </c:pt>
                <c:pt idx="14">
                  <c:v>0.14348021781056136</c:v>
                </c:pt>
                <c:pt idx="15">
                  <c:v>0.10721072668209407</c:v>
                </c:pt>
                <c:pt idx="16">
                  <c:v>0.10706230097197128</c:v>
                </c:pt>
                <c:pt idx="17">
                  <c:v>0.30657670485317728</c:v>
                </c:pt>
                <c:pt idx="18">
                  <c:v>0.31987655084619177</c:v>
                </c:pt>
                <c:pt idx="19">
                  <c:v>0.32180123913579106</c:v>
                </c:pt>
                <c:pt idx="20">
                  <c:v>0.22833432681743013</c:v>
                </c:pt>
                <c:pt idx="21">
                  <c:v>0.26424139120078072</c:v>
                </c:pt>
                <c:pt idx="22">
                  <c:v>0.33642156897104658</c:v>
                </c:pt>
                <c:pt idx="23">
                  <c:v>0.32597616772348481</c:v>
                </c:pt>
                <c:pt idx="24">
                  <c:v>0.35469796341878029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54-454C-86C4-F23A051D1823}"/>
            </c:ext>
          </c:extLst>
        </c:ser>
        <c:ser>
          <c:idx val="5"/>
          <c:order val="3"/>
          <c:tx>
            <c:strRef>
              <c:f>'Julie NS - cijfers'!$A$6</c:f>
              <c:strCache>
                <c:ptCount val="1"/>
                <c:pt idx="0">
                  <c:v>Overige financiering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'Julie NS - cijfers'!$B$1:$Z$1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'Julie NS - cijfers'!$B$6:$Z$6</c:f>
              <c:numCache>
                <c:formatCode>0%</c:formatCode>
                <c:ptCount val="25"/>
                <c:pt idx="0">
                  <c:v>2.8990906194835502E-2</c:v>
                </c:pt>
                <c:pt idx="1">
                  <c:v>3.034312592414682E-2</c:v>
                </c:pt>
                <c:pt idx="2">
                  <c:v>3.1291191804459294E-2</c:v>
                </c:pt>
                <c:pt idx="3">
                  <c:v>3.0157834894348545E-2</c:v>
                </c:pt>
                <c:pt idx="4">
                  <c:v>3.2036735918614459E-2</c:v>
                </c:pt>
                <c:pt idx="5">
                  <c:v>3.2540802414004678E-2</c:v>
                </c:pt>
                <c:pt idx="6">
                  <c:v>3.3055509673111709E-2</c:v>
                </c:pt>
                <c:pt idx="7">
                  <c:v>3.4303533321714146E-2</c:v>
                </c:pt>
                <c:pt idx="8">
                  <c:v>2.233277363804927E-2</c:v>
                </c:pt>
                <c:pt idx="9">
                  <c:v>1.1578539672348466E-2</c:v>
                </c:pt>
                <c:pt idx="10">
                  <c:v>1.6183937215437191E-2</c:v>
                </c:pt>
                <c:pt idx="11">
                  <c:v>2.2753651756942581E-2</c:v>
                </c:pt>
                <c:pt idx="12">
                  <c:v>8.0886340433491237E-3</c:v>
                </c:pt>
                <c:pt idx="13">
                  <c:v>5.5929374396995642E-3</c:v>
                </c:pt>
                <c:pt idx="14">
                  <c:v>5.0228559392557189E-3</c:v>
                </c:pt>
                <c:pt idx="15">
                  <c:v>5.6008583776906203E-3</c:v>
                </c:pt>
                <c:pt idx="16">
                  <c:v>9.2954503832073272E-3</c:v>
                </c:pt>
                <c:pt idx="17">
                  <c:v>6.9203005957833236E-3</c:v>
                </c:pt>
                <c:pt idx="18">
                  <c:v>6.0733474227712136E-3</c:v>
                </c:pt>
                <c:pt idx="19">
                  <c:v>6.767969444116311E-3</c:v>
                </c:pt>
                <c:pt idx="20">
                  <c:v>2.6821369071525279E-3</c:v>
                </c:pt>
                <c:pt idx="21">
                  <c:v>3.4547937333452715E-3</c:v>
                </c:pt>
                <c:pt idx="22">
                  <c:v>1.5839645542167202E-3</c:v>
                </c:pt>
                <c:pt idx="23">
                  <c:v>5.3437310558533428E-3</c:v>
                </c:pt>
                <c:pt idx="24">
                  <c:v>7.6938264934501227E-3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54-454C-86C4-F23A051D1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61535119"/>
        <c:axId val="1961525039"/>
      </c:barChart>
      <c:catAx>
        <c:axId val="196153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961525039"/>
        <c:crosses val="autoZero"/>
        <c:auto val="1"/>
        <c:lblAlgn val="ctr"/>
        <c:lblOffset val="100"/>
        <c:noMultiLvlLbl val="0"/>
      </c:catAx>
      <c:valAx>
        <c:axId val="196152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96153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nl-BE"/>
              <a:t>(B) Werknemers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2"/>
          <c:order val="0"/>
          <c:tx>
            <c:strRef>
              <c:f>'Julie NS - cijfers'!$A$17</c:f>
              <c:strCache>
                <c:ptCount val="1"/>
                <c:pt idx="0">
                  <c:v>Bijdragen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'Julie NS - cijfers'!$B$1:$Z$1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'Julie NS - cijfers'!$B$17:$Z$17</c:f>
              <c:numCache>
                <c:formatCode>0%</c:formatCode>
                <c:ptCount val="25"/>
                <c:pt idx="0">
                  <c:v>0.72313124794847927</c:v>
                </c:pt>
                <c:pt idx="1">
                  <c:v>0.73589715715924076</c:v>
                </c:pt>
                <c:pt idx="2">
                  <c:v>0.72424717050762533</c:v>
                </c:pt>
                <c:pt idx="3">
                  <c:v>0.72299185155955725</c:v>
                </c:pt>
                <c:pt idx="4">
                  <c:v>0.67482368371240187</c:v>
                </c:pt>
                <c:pt idx="5">
                  <c:v>0.66178948914987445</c:v>
                </c:pt>
                <c:pt idx="6">
                  <c:v>0.65898686931100869</c:v>
                </c:pt>
                <c:pt idx="7">
                  <c:v>0.65491146377235732</c:v>
                </c:pt>
                <c:pt idx="8">
                  <c:v>0.68282476143099591</c:v>
                </c:pt>
                <c:pt idx="9">
                  <c:v>0.68564003683827734</c:v>
                </c:pt>
                <c:pt idx="10">
                  <c:v>0.64409502044521039</c:v>
                </c:pt>
                <c:pt idx="11">
                  <c:v>0.63943923162233274</c:v>
                </c:pt>
                <c:pt idx="12">
                  <c:v>0.64341414944707087</c:v>
                </c:pt>
                <c:pt idx="13">
                  <c:v>0.63493053401163391</c:v>
                </c:pt>
                <c:pt idx="14">
                  <c:v>0.62834991218141556</c:v>
                </c:pt>
                <c:pt idx="15">
                  <c:v>0.7495738107383737</c:v>
                </c:pt>
                <c:pt idx="16">
                  <c:v>0.73951011561639135</c:v>
                </c:pt>
                <c:pt idx="17">
                  <c:v>0.70484981559628301</c:v>
                </c:pt>
                <c:pt idx="18">
                  <c:v>0.7095903542740436</c:v>
                </c:pt>
                <c:pt idx="19">
                  <c:v>0.69651686994189566</c:v>
                </c:pt>
                <c:pt idx="20">
                  <c:v>0.62120133397992261</c:v>
                </c:pt>
                <c:pt idx="21">
                  <c:v>0.65310123276655485</c:v>
                </c:pt>
                <c:pt idx="22">
                  <c:v>0.68425385082689139</c:v>
                </c:pt>
                <c:pt idx="23">
                  <c:v>0.67169946091536603</c:v>
                </c:pt>
                <c:pt idx="24">
                  <c:v>0.66170132809651006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B-4AB5-9EA0-EDB5A40F8B9B}"/>
            </c:ext>
          </c:extLst>
        </c:ser>
        <c:ser>
          <c:idx val="3"/>
          <c:order val="1"/>
          <c:tx>
            <c:strRef>
              <c:f>'Julie NS - cijfers'!$A$18</c:f>
              <c:strCache>
                <c:ptCount val="1"/>
                <c:pt idx="0">
                  <c:v>Toelagen van publieke overheden  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'Julie NS - cijfers'!$B$1:$Z$1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'Julie NS - cijfers'!$B$18:$Z$18</c:f>
              <c:numCache>
                <c:formatCode>0%</c:formatCode>
                <c:ptCount val="25"/>
                <c:pt idx="0">
                  <c:v>0.12191492419809306</c:v>
                </c:pt>
                <c:pt idx="1">
                  <c:v>0.12224094009734945</c:v>
                </c:pt>
                <c:pt idx="2">
                  <c:v>0.11463293210216591</c:v>
                </c:pt>
                <c:pt idx="3">
                  <c:v>0.11601084945293974</c:v>
                </c:pt>
                <c:pt idx="4">
                  <c:v>0.10772122956171952</c:v>
                </c:pt>
                <c:pt idx="5">
                  <c:v>0.10362699139414626</c:v>
                </c:pt>
                <c:pt idx="6">
                  <c:v>0.1018041405448623</c:v>
                </c:pt>
                <c:pt idx="7">
                  <c:v>9.7470330335691524E-2</c:v>
                </c:pt>
                <c:pt idx="8">
                  <c:v>0.10196256850198666</c:v>
                </c:pt>
                <c:pt idx="9">
                  <c:v>0.10216195888602678</c:v>
                </c:pt>
                <c:pt idx="10">
                  <c:v>0.13196109962483019</c:v>
                </c:pt>
                <c:pt idx="11">
                  <c:v>0.10899037905838019</c:v>
                </c:pt>
                <c:pt idx="12">
                  <c:v>0.14634941427461429</c:v>
                </c:pt>
                <c:pt idx="13">
                  <c:v>0.15900648529236944</c:v>
                </c:pt>
                <c:pt idx="14">
                  <c:v>0.16302006772598804</c:v>
                </c:pt>
                <c:pt idx="15">
                  <c:v>0.12472339938533186</c:v>
                </c:pt>
                <c:pt idx="16">
                  <c:v>0.12528906610490945</c:v>
                </c:pt>
                <c:pt idx="17">
                  <c:v>9.5272285559886274E-2</c:v>
                </c:pt>
                <c:pt idx="18">
                  <c:v>7.9611633944290355E-2</c:v>
                </c:pt>
                <c:pt idx="19">
                  <c:v>9.1605623420492555E-2</c:v>
                </c:pt>
                <c:pt idx="20">
                  <c:v>0.17402758108215977</c:v>
                </c:pt>
                <c:pt idx="21">
                  <c:v>0.11220024735689578</c:v>
                </c:pt>
                <c:pt idx="22">
                  <c:v>8.6908273517772652E-2</c:v>
                </c:pt>
                <c:pt idx="23">
                  <c:v>9.6014749942914548E-2</c:v>
                </c:pt>
                <c:pt idx="24">
                  <c:v>9.5468585212345233E-2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FB-4AB5-9EA0-EDB5A40F8B9B}"/>
            </c:ext>
          </c:extLst>
        </c:ser>
        <c:ser>
          <c:idx val="4"/>
          <c:order val="2"/>
          <c:tx>
            <c:strRef>
              <c:f>'Julie NS - cijfers'!$A$19</c:f>
              <c:strCache>
                <c:ptCount val="1"/>
                <c:pt idx="0">
                  <c:v>Alternatieve financiering </c:v>
                </c:pt>
              </c:strCache>
            </c:strRef>
          </c:tx>
          <c:spPr>
            <a:pattFill prst="wdDnDiag">
              <a:fgClr>
                <a:schemeClr val="bg1">
                  <a:lumMod val="6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'Julie NS - cijfers'!$B$1:$Z$1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'Julie NS - cijfers'!$B$19:$Z$19</c:f>
              <c:numCache>
                <c:formatCode>0%</c:formatCode>
                <c:ptCount val="25"/>
                <c:pt idx="0">
                  <c:v>8.7567409975407379E-2</c:v>
                </c:pt>
                <c:pt idx="1">
                  <c:v>8.0253666570795523E-2</c:v>
                </c:pt>
                <c:pt idx="2">
                  <c:v>9.7114677849891251E-2</c:v>
                </c:pt>
                <c:pt idx="3">
                  <c:v>9.8596472045822184E-2</c:v>
                </c:pt>
                <c:pt idx="4">
                  <c:v>0.15316625847690388</c:v>
                </c:pt>
                <c:pt idx="5">
                  <c:v>0.17204550484182474</c:v>
                </c:pt>
                <c:pt idx="6">
                  <c:v>0.17967511295159572</c:v>
                </c:pt>
                <c:pt idx="7">
                  <c:v>0.18489506150088569</c:v>
                </c:pt>
                <c:pt idx="8">
                  <c:v>0.16518077047752297</c:v>
                </c:pt>
                <c:pt idx="9">
                  <c:v>0.16147565360913985</c:v>
                </c:pt>
                <c:pt idx="10">
                  <c:v>0.17120458592925325</c:v>
                </c:pt>
                <c:pt idx="11">
                  <c:v>0.19610591939628744</c:v>
                </c:pt>
                <c:pt idx="12">
                  <c:v>0.16744093508656252</c:v>
                </c:pt>
                <c:pt idx="13">
                  <c:v>0.1656529843474524</c:v>
                </c:pt>
                <c:pt idx="14">
                  <c:v>0.16408865612046813</c:v>
                </c:pt>
                <c:pt idx="15">
                  <c:v>8.8146148767917404E-2</c:v>
                </c:pt>
                <c:pt idx="16">
                  <c:v>9.7786594669708571E-2</c:v>
                </c:pt>
                <c:pt idx="17">
                  <c:v>0.16577730125295723</c:v>
                </c:pt>
                <c:pt idx="18">
                  <c:v>0.17694585899352441</c:v>
                </c:pt>
                <c:pt idx="19">
                  <c:v>0.17869019292817581</c:v>
                </c:pt>
                <c:pt idx="20">
                  <c:v>0.17641793326612346</c:v>
                </c:pt>
                <c:pt idx="21">
                  <c:v>0.20524125908211258</c:v>
                </c:pt>
                <c:pt idx="22">
                  <c:v>0.20183827696386403</c:v>
                </c:pt>
                <c:pt idx="23">
                  <c:v>0.20686426035112276</c:v>
                </c:pt>
                <c:pt idx="24">
                  <c:v>0.2149780626916041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FB-4AB5-9EA0-EDB5A40F8B9B}"/>
            </c:ext>
          </c:extLst>
        </c:ser>
        <c:ser>
          <c:idx val="5"/>
          <c:order val="3"/>
          <c:tx>
            <c:strRef>
              <c:f>'Julie NS - cijfers'!$A$20</c:f>
              <c:strCache>
                <c:ptCount val="1"/>
                <c:pt idx="0">
                  <c:v>Overige financiering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'Julie NS - cijfers'!$B$1:$Z$1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'Julie NS - cijfers'!$B$20:$Z$20</c:f>
              <c:numCache>
                <c:formatCode>0%</c:formatCode>
                <c:ptCount val="25"/>
                <c:pt idx="0">
                  <c:v>6.7386417878019994E-2</c:v>
                </c:pt>
                <c:pt idx="1">
                  <c:v>6.1608236172614309E-2</c:v>
                </c:pt>
                <c:pt idx="2">
                  <c:v>6.4005219540317626E-2</c:v>
                </c:pt>
                <c:pt idx="3">
                  <c:v>6.2400826941680809E-2</c:v>
                </c:pt>
                <c:pt idx="4">
                  <c:v>6.4288828248974791E-2</c:v>
                </c:pt>
                <c:pt idx="5">
                  <c:v>6.2538014614154272E-2</c:v>
                </c:pt>
                <c:pt idx="6">
                  <c:v>5.9533877192533273E-2</c:v>
                </c:pt>
                <c:pt idx="7">
                  <c:v>6.2723144391065425E-2</c:v>
                </c:pt>
                <c:pt idx="8">
                  <c:v>5.0031899589494257E-2</c:v>
                </c:pt>
                <c:pt idx="9">
                  <c:v>5.0722350666556199E-2</c:v>
                </c:pt>
                <c:pt idx="10">
                  <c:v>5.2739294000706448E-2</c:v>
                </c:pt>
                <c:pt idx="11">
                  <c:v>5.5464469922999603E-2</c:v>
                </c:pt>
                <c:pt idx="12">
                  <c:v>4.279550119175226E-2</c:v>
                </c:pt>
                <c:pt idx="13">
                  <c:v>4.0409996348544128E-2</c:v>
                </c:pt>
                <c:pt idx="14">
                  <c:v>4.4541363972128198E-2</c:v>
                </c:pt>
                <c:pt idx="15">
                  <c:v>3.7556641108377295E-2</c:v>
                </c:pt>
                <c:pt idx="16">
                  <c:v>3.741422360899082E-2</c:v>
                </c:pt>
                <c:pt idx="17">
                  <c:v>3.4100597590873666E-2</c:v>
                </c:pt>
                <c:pt idx="18">
                  <c:v>3.3852152788141743E-2</c:v>
                </c:pt>
                <c:pt idx="19">
                  <c:v>3.3187313709436041E-2</c:v>
                </c:pt>
                <c:pt idx="20">
                  <c:v>2.8353151671794107E-2</c:v>
                </c:pt>
                <c:pt idx="21">
                  <c:v>2.9457260794436849E-2</c:v>
                </c:pt>
                <c:pt idx="22">
                  <c:v>2.6999598691471848E-2</c:v>
                </c:pt>
                <c:pt idx="23">
                  <c:v>2.542152879059659E-2</c:v>
                </c:pt>
                <c:pt idx="24">
                  <c:v>2.7852023999540853E-2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FB-4AB5-9EA0-EDB5A40F8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61535119"/>
        <c:axId val="1961525039"/>
      </c:barChart>
      <c:catAx>
        <c:axId val="196153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961525039"/>
        <c:crosses val="autoZero"/>
        <c:auto val="1"/>
        <c:lblAlgn val="ctr"/>
        <c:lblOffset val="100"/>
        <c:noMultiLvlLbl val="0"/>
      </c:catAx>
      <c:valAx>
        <c:axId val="196152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96153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nl-BE"/>
              <a:t>Nationale solidariteit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'Julie NS - cijfers'!$A$7</c:f>
              <c:strCache>
                <c:ptCount val="1"/>
                <c:pt idx="0">
                  <c:v>Aandeel nationale solidariteit - zelfstandigen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'Julie NS - cijfers'!$B$1:$Z$1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'Julie NS - cijfers'!$B$7:$Z$7</c:f>
              <c:numCache>
                <c:formatCode>0%</c:formatCode>
                <c:ptCount val="25"/>
                <c:pt idx="0">
                  <c:v>0.34164707810786954</c:v>
                </c:pt>
                <c:pt idx="1">
                  <c:v>0.32678356741956205</c:v>
                </c:pt>
                <c:pt idx="2">
                  <c:v>0.32627943928062758</c:v>
                </c:pt>
                <c:pt idx="3">
                  <c:v>0.32346968334861981</c:v>
                </c:pt>
                <c:pt idx="4">
                  <c:v>0.33959942261441822</c:v>
                </c:pt>
                <c:pt idx="5">
                  <c:v>0.34763787591966994</c:v>
                </c:pt>
                <c:pt idx="6">
                  <c:v>0.35161435141444947</c:v>
                </c:pt>
                <c:pt idx="7">
                  <c:v>0.37199062934165833</c:v>
                </c:pt>
                <c:pt idx="8">
                  <c:v>0.3787680283263718</c:v>
                </c:pt>
                <c:pt idx="9">
                  <c:v>0.37857886653459433</c:v>
                </c:pt>
                <c:pt idx="10">
                  <c:v>0.40471887851322369</c:v>
                </c:pt>
                <c:pt idx="11">
                  <c:v>0.40454744038912249</c:v>
                </c:pt>
                <c:pt idx="12">
                  <c:v>0.41491331215241001</c:v>
                </c:pt>
                <c:pt idx="13">
                  <c:v>0.41990525252742272</c:v>
                </c:pt>
                <c:pt idx="14">
                  <c:v>0.42970580682928144</c:v>
                </c:pt>
                <c:pt idx="15">
                  <c:v>0.32729097402858048</c:v>
                </c:pt>
                <c:pt idx="16">
                  <c:v>0.32551673943749815</c:v>
                </c:pt>
                <c:pt idx="17">
                  <c:v>0.35994833837162399</c:v>
                </c:pt>
                <c:pt idx="18">
                  <c:v>0.37112949239573689</c:v>
                </c:pt>
                <c:pt idx="19">
                  <c:v>0.37295131160096762</c:v>
                </c:pt>
                <c:pt idx="20">
                  <c:v>0.59672110603993045</c:v>
                </c:pt>
                <c:pt idx="21">
                  <c:v>0.56117153848634527</c:v>
                </c:pt>
                <c:pt idx="22">
                  <c:v>0.43623580593857775</c:v>
                </c:pt>
                <c:pt idx="23">
                  <c:v>0.44802377531796561</c:v>
                </c:pt>
                <c:pt idx="24">
                  <c:v>0.4455477613171841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55-4A05-9E4F-773EFB6634D2}"/>
            </c:ext>
          </c:extLst>
        </c:ser>
        <c:ser>
          <c:idx val="2"/>
          <c:order val="2"/>
          <c:tx>
            <c:strRef>
              <c:f>'Julie NS - cijfers'!$A$21</c:f>
              <c:strCache>
                <c:ptCount val="1"/>
                <c:pt idx="0">
                  <c:v>Aandeel nationale solidariteit - werknemers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'Julie NS - cijfers'!$B$1:$Z$1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'Julie NS - cijfers'!$B$21:$Z$21</c:f>
              <c:numCache>
                <c:formatCode>0%</c:formatCode>
                <c:ptCount val="25"/>
                <c:pt idx="0">
                  <c:v>0.20948233417350043</c:v>
                </c:pt>
                <c:pt idx="1">
                  <c:v>0.20249460666814498</c:v>
                </c:pt>
                <c:pt idx="2">
                  <c:v>0.21174760995205716</c:v>
                </c:pt>
                <c:pt idx="3">
                  <c:v>0.21460732149876194</c:v>
                </c:pt>
                <c:pt idx="4">
                  <c:v>0.26088748803862338</c:v>
                </c:pt>
                <c:pt idx="5">
                  <c:v>0.27567249623597101</c:v>
                </c:pt>
                <c:pt idx="6">
                  <c:v>0.28147925349645803</c:v>
                </c:pt>
                <c:pt idx="7">
                  <c:v>0.28236539183657722</c:v>
                </c:pt>
                <c:pt idx="8">
                  <c:v>0.26714333897950965</c:v>
                </c:pt>
                <c:pt idx="9">
                  <c:v>0.2636376124951666</c:v>
                </c:pt>
                <c:pt idx="10">
                  <c:v>0.30316568555408341</c:v>
                </c:pt>
                <c:pt idx="11">
                  <c:v>0.30509629845466762</c:v>
                </c:pt>
                <c:pt idx="12">
                  <c:v>0.31379034936117678</c:v>
                </c:pt>
                <c:pt idx="13">
                  <c:v>0.32465946963982184</c:v>
                </c:pt>
                <c:pt idx="14">
                  <c:v>0.32710872384645617</c:v>
                </c:pt>
                <c:pt idx="15">
                  <c:v>0.21286954815324927</c:v>
                </c:pt>
                <c:pt idx="16">
                  <c:v>0.22307566077461802</c:v>
                </c:pt>
                <c:pt idx="17">
                  <c:v>0.26104958681284351</c:v>
                </c:pt>
                <c:pt idx="18">
                  <c:v>0.25655749293781477</c:v>
                </c:pt>
                <c:pt idx="19">
                  <c:v>0.27029581634866839</c:v>
                </c:pt>
                <c:pt idx="20">
                  <c:v>0.35044551434828319</c:v>
                </c:pt>
                <c:pt idx="21">
                  <c:v>0.31744150643900837</c:v>
                </c:pt>
                <c:pt idx="22">
                  <c:v>0.28874655048163667</c:v>
                </c:pt>
                <c:pt idx="23">
                  <c:v>0.3028790102940373</c:v>
                </c:pt>
                <c:pt idx="24">
                  <c:v>0.31044664790394932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55-4A05-9E4F-773EFB663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6389519"/>
        <c:axId val="416366479"/>
      </c:barChart>
      <c:lineChart>
        <c:grouping val="standard"/>
        <c:varyColors val="0"/>
        <c:ser>
          <c:idx val="1"/>
          <c:order val="1"/>
          <c:tx>
            <c:strRef>
              <c:f>'Julie NS - cijfers'!$A$15</c:f>
              <c:strCache>
                <c:ptCount val="1"/>
                <c:pt idx="0">
                  <c:v>Evolutie nationale solidariteit - zelfstandigen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'Julie NS - cijfers'!$B$1:$Z$1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'Julie NS - cijfers'!$B$15:$Z$15</c:f>
              <c:numCache>
                <c:formatCode>0.00</c:formatCode>
                <c:ptCount val="25"/>
                <c:pt idx="0" formatCode="0">
                  <c:v>100</c:v>
                </c:pt>
                <c:pt idx="1">
                  <c:v>95.64945476173088</c:v>
                </c:pt>
                <c:pt idx="2">
                  <c:v>95.501896602671977</c:v>
                </c:pt>
                <c:pt idx="3">
                  <c:v>94.67948186183213</c:v>
                </c:pt>
                <c:pt idx="4">
                  <c:v>99.40065183498956</c:v>
                </c:pt>
                <c:pt idx="5">
                  <c:v>101.75350477017952</c:v>
                </c:pt>
                <c:pt idx="6">
                  <c:v>102.91741798635636</c:v>
                </c:pt>
                <c:pt idx="7">
                  <c:v>108.88154858570408</c:v>
                </c:pt>
                <c:pt idx="8">
                  <c:v>110.86529128950488</c:v>
                </c:pt>
                <c:pt idx="9">
                  <c:v>110.80992368828754</c:v>
                </c:pt>
                <c:pt idx="10">
                  <c:v>118.46109756145501</c:v>
                </c:pt>
                <c:pt idx="11">
                  <c:v>118.41091767259113</c:v>
                </c:pt>
                <c:pt idx="12">
                  <c:v>121.44500531083362</c:v>
                </c:pt>
                <c:pt idx="13">
                  <c:v>122.90614480093532</c:v>
                </c:pt>
                <c:pt idx="14">
                  <c:v>125.77476418329232</c:v>
                </c:pt>
                <c:pt idx="15">
                  <c:v>95.797972528026023</c:v>
                </c:pt>
                <c:pt idx="16">
                  <c:v>95.278654581299094</c:v>
                </c:pt>
                <c:pt idx="17">
                  <c:v>105.35677353516722</c:v>
                </c:pt>
                <c:pt idx="18">
                  <c:v>108.62949405308794</c:v>
                </c:pt>
                <c:pt idx="19">
                  <c:v>109.16274000248123</c:v>
                </c:pt>
                <c:pt idx="20">
                  <c:v>174.66009349318227</c:v>
                </c:pt>
                <c:pt idx="21">
                  <c:v>164.25474545084924</c:v>
                </c:pt>
                <c:pt idx="22">
                  <c:v>127.68609301580015</c:v>
                </c:pt>
                <c:pt idx="23">
                  <c:v>131.13642821101757</c:v>
                </c:pt>
                <c:pt idx="24">
                  <c:v>130.41169963599378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55-4A05-9E4F-773EFB6634D2}"/>
            </c:ext>
          </c:extLst>
        </c:ser>
        <c:ser>
          <c:idx val="3"/>
          <c:order val="3"/>
          <c:tx>
            <c:strRef>
              <c:f>'Julie NS - cijfers'!$A$29</c:f>
              <c:strCache>
                <c:ptCount val="1"/>
                <c:pt idx="0">
                  <c:v>Evolutie nationale solidariteit - werknemers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'Julie NS - cijfers'!$B$1:$Z$1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'Julie NS - cijfers'!$B$29:$Z$29</c:f>
              <c:numCache>
                <c:formatCode>0.00</c:formatCode>
                <c:ptCount val="25"/>
                <c:pt idx="0" formatCode="0">
                  <c:v>100</c:v>
                </c:pt>
                <c:pt idx="1">
                  <c:v>96.664287930089614</c:v>
                </c:pt>
                <c:pt idx="2">
                  <c:v>101.08136840631178</c:v>
                </c:pt>
                <c:pt idx="3">
                  <c:v>102.44650096414183</c:v>
                </c:pt>
                <c:pt idx="4">
                  <c:v>124.53913551609915</c:v>
                </c:pt>
                <c:pt idx="5">
                  <c:v>131.59701381198553</c:v>
                </c:pt>
                <c:pt idx="6">
                  <c:v>134.36896939640138</c:v>
                </c:pt>
                <c:pt idx="7">
                  <c:v>134.79198279445967</c:v>
                </c:pt>
                <c:pt idx="8">
                  <c:v>127.52547370331114</c:v>
                </c:pt>
                <c:pt idx="9">
                  <c:v>125.85195478909115</c:v>
                </c:pt>
                <c:pt idx="10">
                  <c:v>144.72136123086696</c:v>
                </c:pt>
                <c:pt idx="11">
                  <c:v>145.64297254869066</c:v>
                </c:pt>
                <c:pt idx="12">
                  <c:v>149.79322748107481</c:v>
                </c:pt>
                <c:pt idx="13">
                  <c:v>154.98178923809766</c:v>
                </c:pt>
                <c:pt idx="14">
                  <c:v>156.15098291559687</c:v>
                </c:pt>
                <c:pt idx="15">
                  <c:v>101.61694492908573</c:v>
                </c:pt>
                <c:pt idx="16">
                  <c:v>106.48900856234451</c:v>
                </c:pt>
                <c:pt idx="17">
                  <c:v>124.61651615769819</c:v>
                </c:pt>
                <c:pt idx="18">
                  <c:v>122.47213778195017</c:v>
                </c:pt>
                <c:pt idx="19">
                  <c:v>129.03036306861091</c:v>
                </c:pt>
                <c:pt idx="20">
                  <c:v>167.29120177648596</c:v>
                </c:pt>
                <c:pt idx="21">
                  <c:v>151.53617019375602</c:v>
                </c:pt>
                <c:pt idx="22">
                  <c:v>137.83813877235437</c:v>
                </c:pt>
                <c:pt idx="23">
                  <c:v>144.58451185825652</c:v>
                </c:pt>
                <c:pt idx="24">
                  <c:v>148.19705400400338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55-4A05-9E4F-773EFB663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456255"/>
        <c:axId val="859472095"/>
      </c:lineChart>
      <c:catAx>
        <c:axId val="85945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859472095"/>
        <c:crosses val="autoZero"/>
        <c:auto val="1"/>
        <c:lblAlgn val="ctr"/>
        <c:lblOffset val="100"/>
        <c:noMultiLvlLbl val="0"/>
      </c:catAx>
      <c:valAx>
        <c:axId val="85947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nl-BE"/>
                  <a:t>Procentuele groei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nl-B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859456255"/>
        <c:crosses val="autoZero"/>
        <c:crossBetween val="between"/>
      </c:valAx>
      <c:valAx>
        <c:axId val="41636647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nl-BE"/>
                  <a:t>Aandeel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nl-BE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416389519"/>
        <c:crosses val="max"/>
        <c:crossBetween val="between"/>
      </c:valAx>
      <c:catAx>
        <c:axId val="4163895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63664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nl-BE"/>
              <a:t>(A) Aandeel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Zelfstandigen</c:v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'Oplijsting (sub)categorieën KSZ'!$C$14:$W$14</c:f>
              <c:numCache>
                <c:formatCode>General</c:formatCode>
                <c:ptCount val="2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'Oplijsting (sub)categorieën KSZ'!$C$19:$W$19</c:f>
              <c:numCache>
                <c:formatCode>0%</c:formatCode>
                <c:ptCount val="21"/>
                <c:pt idx="0">
                  <c:v>0.17387034277594574</c:v>
                </c:pt>
                <c:pt idx="1">
                  <c:v>0.17228586104029237</c:v>
                </c:pt>
                <c:pt idx="2">
                  <c:v>0.17090066759075984</c:v>
                </c:pt>
                <c:pt idx="3">
                  <c:v>0.1696390273549126</c:v>
                </c:pt>
                <c:pt idx="4">
                  <c:v>0.16906902489504577</c:v>
                </c:pt>
                <c:pt idx="5">
                  <c:v>0.16990502379501629</c:v>
                </c:pt>
                <c:pt idx="6">
                  <c:v>0.17152293099993624</c:v>
                </c:pt>
                <c:pt idx="7">
                  <c:v>0.1714282133474298</c:v>
                </c:pt>
                <c:pt idx="8">
                  <c:v>0.17248234942800059</c:v>
                </c:pt>
                <c:pt idx="9">
                  <c:v>0.17495065430625381</c:v>
                </c:pt>
                <c:pt idx="10">
                  <c:v>0.17683844138323604</c:v>
                </c:pt>
                <c:pt idx="11">
                  <c:v>0.17772567476393686</c:v>
                </c:pt>
                <c:pt idx="12">
                  <c:v>0.17956710698714062</c:v>
                </c:pt>
                <c:pt idx="13">
                  <c:v>0.18029057798396403</c:v>
                </c:pt>
                <c:pt idx="14">
                  <c:v>0.18134819582690481</c:v>
                </c:pt>
                <c:pt idx="15">
                  <c:v>0.18184174545266035</c:v>
                </c:pt>
                <c:pt idx="16">
                  <c:v>0.18324444987998573</c:v>
                </c:pt>
                <c:pt idx="17">
                  <c:v>0.18842576446512119</c:v>
                </c:pt>
                <c:pt idx="18">
                  <c:v>0.1904752409237534</c:v>
                </c:pt>
                <c:pt idx="19">
                  <c:v>0.19096729947321339</c:v>
                </c:pt>
                <c:pt idx="20">
                  <c:v>0.19141037926512269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974-4FD8-BB32-F3F6249EDE27}"/>
            </c:ext>
          </c:extLst>
        </c:ser>
        <c:ser>
          <c:idx val="1"/>
          <c:order val="1"/>
          <c:tx>
            <c:v>Werknemers</c:v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'Oplijsting (sub)categorieën KSZ'!$C$14:$W$14</c:f>
              <c:numCache>
                <c:formatCode>General</c:formatCode>
                <c:ptCount val="2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'Oplijsting (sub)categorieën KSZ'!$C$20:$W$20</c:f>
              <c:numCache>
                <c:formatCode>0%</c:formatCode>
                <c:ptCount val="21"/>
                <c:pt idx="0">
                  <c:v>0.82612965722405429</c:v>
                </c:pt>
                <c:pt idx="1">
                  <c:v>0.82771413895970769</c:v>
                </c:pt>
                <c:pt idx="2">
                  <c:v>0.82909933240924016</c:v>
                </c:pt>
                <c:pt idx="3">
                  <c:v>0.83036097264508735</c:v>
                </c:pt>
                <c:pt idx="4">
                  <c:v>0.83093097510495428</c:v>
                </c:pt>
                <c:pt idx="5">
                  <c:v>0.83009497620498374</c:v>
                </c:pt>
                <c:pt idx="6">
                  <c:v>0.82847706900006379</c:v>
                </c:pt>
                <c:pt idx="7">
                  <c:v>0.82857178665257025</c:v>
                </c:pt>
                <c:pt idx="8">
                  <c:v>0.82751765057199944</c:v>
                </c:pt>
                <c:pt idx="9">
                  <c:v>0.82504934569374622</c:v>
                </c:pt>
                <c:pt idx="10">
                  <c:v>0.82316155861676399</c:v>
                </c:pt>
                <c:pt idx="11">
                  <c:v>0.82227432523606314</c:v>
                </c:pt>
                <c:pt idx="12">
                  <c:v>0.82043289301285938</c:v>
                </c:pt>
                <c:pt idx="13">
                  <c:v>0.81970942201603603</c:v>
                </c:pt>
                <c:pt idx="14">
                  <c:v>0.81865180417309524</c:v>
                </c:pt>
                <c:pt idx="15">
                  <c:v>0.81815825454733959</c:v>
                </c:pt>
                <c:pt idx="16">
                  <c:v>0.81675555012001433</c:v>
                </c:pt>
                <c:pt idx="17">
                  <c:v>0.81157423553487884</c:v>
                </c:pt>
                <c:pt idx="18">
                  <c:v>0.80952475907624666</c:v>
                </c:pt>
                <c:pt idx="19">
                  <c:v>0.80903270052678655</c:v>
                </c:pt>
                <c:pt idx="20">
                  <c:v>0.80858962073487728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974-4FD8-BB32-F3F6249ED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954479"/>
        <c:axId val="65966479"/>
      </c:barChart>
      <c:catAx>
        <c:axId val="6595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65966479"/>
        <c:crosses val="autoZero"/>
        <c:auto val="1"/>
        <c:lblAlgn val="ctr"/>
        <c:lblOffset val="100"/>
        <c:noMultiLvlLbl val="0"/>
      </c:catAx>
      <c:valAx>
        <c:axId val="6596647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Aandeel in werkende bevolking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nl-B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65954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nl-BE"/>
              <a:t>(A)</a:t>
            </a:r>
            <a:r>
              <a:rPr lang="nl-BE" baseline="0"/>
              <a:t> Zelfstandigen (Z2)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Bijdragen per capita</c:v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'Julie BS - Cijfers'!$B$1:$V$1</c:f>
              <c:numCache>
                <c:formatCode>General</c:formatCode>
                <c:ptCount val="2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'Julie BS - Cijfers'!$B$27:$V$27</c:f>
              <c:numCache>
                <c:formatCode>0.00</c:formatCode>
                <c:ptCount val="21"/>
                <c:pt idx="0" formatCode="General">
                  <c:v>100</c:v>
                </c:pt>
                <c:pt idx="1">
                  <c:v>101.90448481591132</c:v>
                </c:pt>
                <c:pt idx="2">
                  <c:v>103.66071189165368</c:v>
                </c:pt>
                <c:pt idx="3">
                  <c:v>105.45678183151215</c:v>
                </c:pt>
                <c:pt idx="4">
                  <c:v>105.15445033199998</c:v>
                </c:pt>
                <c:pt idx="5">
                  <c:v>112.01868235549372</c:v>
                </c:pt>
                <c:pt idx="6">
                  <c:v>116.67806810627221</c:v>
                </c:pt>
                <c:pt idx="7">
                  <c:v>115.90849845121798</c:v>
                </c:pt>
                <c:pt idx="8">
                  <c:v>112.08064970556697</c:v>
                </c:pt>
                <c:pt idx="9">
                  <c:v>111.2141192749919</c:v>
                </c:pt>
                <c:pt idx="10">
                  <c:v>113.61393425164515</c:v>
                </c:pt>
                <c:pt idx="11">
                  <c:v>112.31032675215081</c:v>
                </c:pt>
                <c:pt idx="12">
                  <c:v>116.54846747244997</c:v>
                </c:pt>
                <c:pt idx="13">
                  <c:v>114.79473782287735</c:v>
                </c:pt>
                <c:pt idx="14">
                  <c:v>111.64742807736653</c:v>
                </c:pt>
                <c:pt idx="15">
                  <c:v>109.25992933447669</c:v>
                </c:pt>
                <c:pt idx="16">
                  <c:v>106.6995946450057</c:v>
                </c:pt>
                <c:pt idx="17">
                  <c:v>95.369301659281348</c:v>
                </c:pt>
                <c:pt idx="18">
                  <c:v>98.390055767946052</c:v>
                </c:pt>
                <c:pt idx="19">
                  <c:v>91.078638632371621</c:v>
                </c:pt>
                <c:pt idx="20">
                  <c:v>96.994406187286302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3E-48DF-8D16-54924BEA9787}"/>
            </c:ext>
          </c:extLst>
        </c:ser>
        <c:ser>
          <c:idx val="2"/>
          <c:order val="1"/>
          <c:tx>
            <c:v>Uitgaven per capita</c:v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'Julie BS - Cijfers'!$B$1:$V$1</c:f>
              <c:numCache>
                <c:formatCode>General</c:formatCode>
                <c:ptCount val="2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'Julie BS - Cijfers'!$B$28:$V$28</c:f>
              <c:numCache>
                <c:formatCode>0.00</c:formatCode>
                <c:ptCount val="21"/>
                <c:pt idx="0" formatCode="General">
                  <c:v>100</c:v>
                </c:pt>
                <c:pt idx="1">
                  <c:v>104.35905400674758</c:v>
                </c:pt>
                <c:pt idx="2">
                  <c:v>104.66326598413274</c:v>
                </c:pt>
                <c:pt idx="3">
                  <c:v>107.50478885463394</c:v>
                </c:pt>
                <c:pt idx="4">
                  <c:v>107.40095601235073</c:v>
                </c:pt>
                <c:pt idx="5">
                  <c:v>115.82743204080957</c:v>
                </c:pt>
                <c:pt idx="6">
                  <c:v>122.27256374935116</c:v>
                </c:pt>
                <c:pt idx="7">
                  <c:v>123.82029675798664</c:v>
                </c:pt>
                <c:pt idx="8">
                  <c:v>123.89109184266019</c:v>
                </c:pt>
                <c:pt idx="9">
                  <c:v>119.54292750461541</c:v>
                </c:pt>
                <c:pt idx="10">
                  <c:v>121.47363702336119</c:v>
                </c:pt>
                <c:pt idx="11">
                  <c:v>124.47639427994133</c:v>
                </c:pt>
                <c:pt idx="12">
                  <c:v>108.66346912015078</c:v>
                </c:pt>
                <c:pt idx="13">
                  <c:v>105.62526090206697</c:v>
                </c:pt>
                <c:pt idx="14">
                  <c:v>109.50707627727334</c:v>
                </c:pt>
                <c:pt idx="15">
                  <c:v>108.92663613500895</c:v>
                </c:pt>
                <c:pt idx="16">
                  <c:v>108.35328340793573</c:v>
                </c:pt>
                <c:pt idx="17">
                  <c:v>156.42989838571367</c:v>
                </c:pt>
                <c:pt idx="18">
                  <c:v>133.68424336347906</c:v>
                </c:pt>
                <c:pt idx="19">
                  <c:v>115.17541950198704</c:v>
                </c:pt>
                <c:pt idx="20">
                  <c:v>109.4095139424433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3E-48DF-8D16-54924BEA9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0350975"/>
        <c:axId val="1980355775"/>
      </c:lineChart>
      <c:lineChart>
        <c:grouping val="standard"/>
        <c:varyColors val="0"/>
        <c:ser>
          <c:idx val="3"/>
          <c:order val="2"/>
          <c:tx>
            <c:v>Ratio bijdragen/uitgaven</c:v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'Julie BS - Cijfers'!$B$29:$V$29</c:f>
              <c:numCache>
                <c:formatCode>0.00</c:formatCode>
                <c:ptCount val="21"/>
                <c:pt idx="0">
                  <c:v>0.64474409664078791</c:v>
                </c:pt>
                <c:pt idx="1">
                  <c:v>0.6295794421635087</c:v>
                </c:pt>
                <c:pt idx="2">
                  <c:v>0.63856818738923704</c:v>
                </c:pt>
                <c:pt idx="3">
                  <c:v>0.63246147693514743</c:v>
                </c:pt>
                <c:pt idx="4">
                  <c:v>0.63125798507107744</c:v>
                </c:pt>
                <c:pt idx="5">
                  <c:v>0.62354299745450326</c:v>
                </c:pt>
                <c:pt idx="6">
                  <c:v>0.61524428140053622</c:v>
                </c:pt>
                <c:pt idx="7">
                  <c:v>0.60354660813797789</c:v>
                </c:pt>
                <c:pt idx="8">
                  <c:v>0.58328113967307449</c:v>
                </c:pt>
                <c:pt idx="9">
                  <c:v>0.59982341375140802</c:v>
                </c:pt>
                <c:pt idx="10">
                  <c:v>0.60302725101410604</c:v>
                </c:pt>
                <c:pt idx="11">
                  <c:v>0.58172813073615748</c:v>
                </c:pt>
                <c:pt idx="12">
                  <c:v>0.69152896538122932</c:v>
                </c:pt>
                <c:pt idx="13">
                  <c:v>0.70071523520638057</c:v>
                </c:pt>
                <c:pt idx="14">
                  <c:v>0.65734583193276541</c:v>
                </c:pt>
                <c:pt idx="15">
                  <c:v>0.64671688153924956</c:v>
                </c:pt>
                <c:pt idx="16">
                  <c:v>0.63490400657571622</c:v>
                </c:pt>
                <c:pt idx="17">
                  <c:v>0.39307571557683613</c:v>
                </c:pt>
                <c:pt idx="18">
                  <c:v>0.47452419244399319</c:v>
                </c:pt>
                <c:pt idx="19">
                  <c:v>0.50985197051779041</c:v>
                </c:pt>
                <c:pt idx="20">
                  <c:v>0.57158256666170737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3E-48DF-8D16-54924BEA9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0662543"/>
        <c:axId val="1960663503"/>
      </c:lineChart>
      <c:catAx>
        <c:axId val="198035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980355775"/>
        <c:crosses val="autoZero"/>
        <c:auto val="1"/>
        <c:lblAlgn val="ctr"/>
        <c:lblOffset val="100"/>
        <c:noMultiLvlLbl val="0"/>
      </c:catAx>
      <c:valAx>
        <c:axId val="198035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nl-BE"/>
                  <a:t>Procentuele groei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nl-B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980350975"/>
        <c:crosses val="autoZero"/>
        <c:crossBetween val="between"/>
      </c:valAx>
      <c:valAx>
        <c:axId val="1960663503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nl-BE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nl-BE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960662543"/>
        <c:crosses val="max"/>
        <c:crossBetween val="between"/>
      </c:valAx>
      <c:catAx>
        <c:axId val="1960662543"/>
        <c:scaling>
          <c:orientation val="minMax"/>
        </c:scaling>
        <c:delete val="1"/>
        <c:axPos val="b"/>
        <c:majorTickMark val="out"/>
        <c:minorTickMark val="none"/>
        <c:tickLblPos val="nextTo"/>
        <c:crossAx val="19606635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nl-BE"/>
              <a:t>(B)</a:t>
            </a:r>
            <a:r>
              <a:rPr lang="nl-BE" baseline="0"/>
              <a:t> Werknemers (W2)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Bijdragen per capita</c:v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'Julie BS - Cijfers'!$B$1:$V$1</c:f>
              <c:numCache>
                <c:formatCode>General</c:formatCode>
                <c:ptCount val="2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'Julie BS - Cijfers'!$B$54:$V$54</c:f>
              <c:numCache>
                <c:formatCode>0.00</c:formatCode>
                <c:ptCount val="21"/>
                <c:pt idx="0" formatCode="General">
                  <c:v>100</c:v>
                </c:pt>
                <c:pt idx="1">
                  <c:v>99.06180449739422</c:v>
                </c:pt>
                <c:pt idx="2">
                  <c:v>98.36785350426436</c:v>
                </c:pt>
                <c:pt idx="3">
                  <c:v>97.523845385029475</c:v>
                </c:pt>
                <c:pt idx="4">
                  <c:v>98.863886153267316</c:v>
                </c:pt>
                <c:pt idx="5">
                  <c:v>97.23883661713063</c:v>
                </c:pt>
                <c:pt idx="6">
                  <c:v>99.646048776439571</c:v>
                </c:pt>
                <c:pt idx="7">
                  <c:v>96.932428005657442</c:v>
                </c:pt>
                <c:pt idx="8">
                  <c:v>97.483842535269119</c:v>
                </c:pt>
                <c:pt idx="9">
                  <c:v>99.287628254075329</c:v>
                </c:pt>
                <c:pt idx="10">
                  <c:v>100.62816123207418</c:v>
                </c:pt>
                <c:pt idx="11">
                  <c:v>103.22427901635014</c:v>
                </c:pt>
                <c:pt idx="12">
                  <c:v>105.93026068671051</c:v>
                </c:pt>
                <c:pt idx="13">
                  <c:v>102.54376470763258</c:v>
                </c:pt>
                <c:pt idx="14">
                  <c:v>101.73070251826213</c:v>
                </c:pt>
                <c:pt idx="15">
                  <c:v>100.18169263152481</c:v>
                </c:pt>
                <c:pt idx="16">
                  <c:v>100.92103614353519</c:v>
                </c:pt>
                <c:pt idx="17">
                  <c:v>98.77890862755379</c:v>
                </c:pt>
                <c:pt idx="18">
                  <c:v>100.17097933924066</c:v>
                </c:pt>
                <c:pt idx="19">
                  <c:v>98.327223304040118</c:v>
                </c:pt>
                <c:pt idx="20">
                  <c:v>103.44227867690167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C2-4977-85DF-37DF3AF178CE}"/>
            </c:ext>
          </c:extLst>
        </c:ser>
        <c:ser>
          <c:idx val="2"/>
          <c:order val="1"/>
          <c:tx>
            <c:v>Uitgaven per capita</c:v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'Julie BS - Cijfers'!$B$1:$V$1</c:f>
              <c:numCache>
                <c:formatCode>General</c:formatCode>
                <c:ptCount val="2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'Julie BS - Cijfers'!$B$55:$V$55</c:f>
              <c:numCache>
                <c:formatCode>0.00</c:formatCode>
                <c:ptCount val="21"/>
                <c:pt idx="0" formatCode="General">
                  <c:v>100</c:v>
                </c:pt>
                <c:pt idx="1">
                  <c:v>105.02519590707197</c:v>
                </c:pt>
                <c:pt idx="2">
                  <c:v>105.12229615539331</c:v>
                </c:pt>
                <c:pt idx="3">
                  <c:v>104.64503076887097</c:v>
                </c:pt>
                <c:pt idx="4">
                  <c:v>105.07474738187381</c:v>
                </c:pt>
                <c:pt idx="5">
                  <c:v>99.740991714443226</c:v>
                </c:pt>
                <c:pt idx="6">
                  <c:v>108.1091096661612</c:v>
                </c:pt>
                <c:pt idx="7">
                  <c:v>108.65096113122041</c:v>
                </c:pt>
                <c:pt idx="8">
                  <c:v>109.74088645631898</c:v>
                </c:pt>
                <c:pt idx="9">
                  <c:v>109.09300666542639</c:v>
                </c:pt>
                <c:pt idx="10">
                  <c:v>112.52297157677022</c:v>
                </c:pt>
                <c:pt idx="11">
                  <c:v>117.03513166930387</c:v>
                </c:pt>
                <c:pt idx="12">
                  <c:v>99.77416960984894</c:v>
                </c:pt>
                <c:pt idx="13">
                  <c:v>99.773277622526948</c:v>
                </c:pt>
                <c:pt idx="14">
                  <c:v>101.57176176429661</c:v>
                </c:pt>
                <c:pt idx="15">
                  <c:v>100.9485343752749</c:v>
                </c:pt>
                <c:pt idx="16">
                  <c:v>101.51387115677076</c:v>
                </c:pt>
                <c:pt idx="17">
                  <c:v>112.09864094648428</c:v>
                </c:pt>
                <c:pt idx="18">
                  <c:v>108.17251787964618</c:v>
                </c:pt>
                <c:pt idx="19">
                  <c:v>103.0123421300619</c:v>
                </c:pt>
                <c:pt idx="20">
                  <c:v>109.03862527799744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C2-4977-85DF-37DF3AF17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0350975"/>
        <c:axId val="1980355775"/>
      </c:lineChart>
      <c:lineChart>
        <c:grouping val="standard"/>
        <c:varyColors val="0"/>
        <c:ser>
          <c:idx val="3"/>
          <c:order val="2"/>
          <c:tx>
            <c:v>Ratio bijdragen/uitgaven</c:v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'Julie BS - Cijfers'!$B$1:$V$1</c:f>
              <c:numCache>
                <c:formatCode>General</c:formatCode>
                <c:ptCount val="2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'Julie BS - Cijfers'!$B$56:$V$56</c:f>
              <c:numCache>
                <c:formatCode>0.00</c:formatCode>
                <c:ptCount val="21"/>
                <c:pt idx="0">
                  <c:v>0.70986483079918494</c:v>
                </c:pt>
                <c:pt idx="1">
                  <c:v>0.66955829485360274</c:v>
                </c:pt>
                <c:pt idx="2">
                  <c:v>0.6642537524167379</c:v>
                </c:pt>
                <c:pt idx="3">
                  <c:v>0.66155791148874576</c:v>
                </c:pt>
                <c:pt idx="4">
                  <c:v>0.66790544412429931</c:v>
                </c:pt>
                <c:pt idx="5">
                  <c:v>0.69205678744352706</c:v>
                </c:pt>
                <c:pt idx="6">
                  <c:v>0.65429477472271835</c:v>
                </c:pt>
                <c:pt idx="7">
                  <c:v>0.63330246588511974</c:v>
                </c:pt>
                <c:pt idx="8">
                  <c:v>0.63057948246570383</c:v>
                </c:pt>
                <c:pt idx="9">
                  <c:v>0.64606153579749326</c:v>
                </c:pt>
                <c:pt idx="10">
                  <c:v>0.63482497525319759</c:v>
                </c:pt>
                <c:pt idx="11">
                  <c:v>0.62609649182398419</c:v>
                </c:pt>
                <c:pt idx="12">
                  <c:v>0.75366366738934498</c:v>
                </c:pt>
                <c:pt idx="13">
                  <c:v>0.72957623442110786</c:v>
                </c:pt>
                <c:pt idx="14">
                  <c:v>0.71097563610039272</c:v>
                </c:pt>
                <c:pt idx="15">
                  <c:v>0.70447243963624528</c:v>
                </c:pt>
                <c:pt idx="16">
                  <c:v>0.70571926210431724</c:v>
                </c:pt>
                <c:pt idx="17">
                  <c:v>0.62551760366926845</c:v>
                </c:pt>
                <c:pt idx="18">
                  <c:v>0.65735601512718767</c:v>
                </c:pt>
                <c:pt idx="19">
                  <c:v>0.67757936855322454</c:v>
                </c:pt>
                <c:pt idx="20">
                  <c:v>0.67343141444830823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C2-4977-85DF-37DF3AF17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5769311"/>
        <c:axId val="625777951"/>
      </c:lineChart>
      <c:catAx>
        <c:axId val="198035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980355775"/>
        <c:crosses val="autoZero"/>
        <c:auto val="1"/>
        <c:lblAlgn val="ctr"/>
        <c:lblOffset val="100"/>
        <c:noMultiLvlLbl val="0"/>
      </c:catAx>
      <c:valAx>
        <c:axId val="1980355775"/>
        <c:scaling>
          <c:orientation val="minMax"/>
          <c:max val="1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nl-BE"/>
                  <a:t>Procentuele groei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nl-B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980350975"/>
        <c:crosses val="autoZero"/>
        <c:crossBetween val="between"/>
      </c:valAx>
      <c:valAx>
        <c:axId val="625777951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nl-BE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nl-BE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625769311"/>
        <c:crosses val="max"/>
        <c:crossBetween val="between"/>
      </c:valAx>
      <c:catAx>
        <c:axId val="6257693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57779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nl-BE"/>
              <a:t>Z2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Aantal vennootschappen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'Julie BS - Cijfers'!$B$59:$V$59</c:f>
              <c:numCache>
                <c:formatCode>General</c:formatCode>
                <c:ptCount val="2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'Julie BS - Cijfers'!$B$85:$V$85</c:f>
              <c:numCache>
                <c:formatCode>0.00</c:formatCode>
                <c:ptCount val="21"/>
                <c:pt idx="0" formatCode="General">
                  <c:v>100</c:v>
                </c:pt>
                <c:pt idx="1">
                  <c:v>102.50467092043571</c:v>
                </c:pt>
                <c:pt idx="2">
                  <c:v>104.27403908297201</c:v>
                </c:pt>
                <c:pt idx="3">
                  <c:v>109.68790025969143</c:v>
                </c:pt>
                <c:pt idx="4">
                  <c:v>113.94137554200304</c:v>
                </c:pt>
                <c:pt idx="5">
                  <c:v>121.46420136073608</c:v>
                </c:pt>
                <c:pt idx="6">
                  <c:v>126.11073900424203</c:v>
                </c:pt>
                <c:pt idx="7">
                  <c:v>131.00345471851097</c:v>
                </c:pt>
                <c:pt idx="8">
                  <c:v>136.44463637325063</c:v>
                </c:pt>
                <c:pt idx="9">
                  <c:v>140.26832822176004</c:v>
                </c:pt>
                <c:pt idx="10">
                  <c:v>142.25185367974527</c:v>
                </c:pt>
                <c:pt idx="11">
                  <c:v>142.86553624516753</c:v>
                </c:pt>
                <c:pt idx="12">
                  <c:v>147.10226671836998</c:v>
                </c:pt>
                <c:pt idx="13">
                  <c:v>151.81196460676142</c:v>
                </c:pt>
                <c:pt idx="14">
                  <c:v>156.84392662835927</c:v>
                </c:pt>
                <c:pt idx="15">
                  <c:v>161.91907263134394</c:v>
                </c:pt>
                <c:pt idx="16">
                  <c:v>166.20897521768251</c:v>
                </c:pt>
                <c:pt idx="17">
                  <c:v>175.60633835090067</c:v>
                </c:pt>
                <c:pt idx="18">
                  <c:v>184.20964501004687</c:v>
                </c:pt>
                <c:pt idx="19">
                  <c:v>192.45014747182759</c:v>
                </c:pt>
                <c:pt idx="20">
                  <c:v>200.62513954007591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C0-413B-A0CB-B1A193ABB2D0}"/>
            </c:ext>
          </c:extLst>
        </c:ser>
        <c:ser>
          <c:idx val="1"/>
          <c:order val="1"/>
          <c:tx>
            <c:v>Vennootschapsbijdragen per capita</c:v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'Julie BS - Cijfers'!$B$59:$V$59</c:f>
              <c:numCache>
                <c:formatCode>General</c:formatCode>
                <c:ptCount val="2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'Julie BS - Cijfers'!$B$86:$V$86</c:f>
              <c:numCache>
                <c:formatCode>0</c:formatCode>
                <c:ptCount val="21"/>
                <c:pt idx="0">
                  <c:v>100</c:v>
                </c:pt>
                <c:pt idx="1">
                  <c:v>110.75742673273608</c:v>
                </c:pt>
                <c:pt idx="2">
                  <c:v>161.22847706337353</c:v>
                </c:pt>
                <c:pt idx="3">
                  <c:v>141.49336290707544</c:v>
                </c:pt>
                <c:pt idx="4">
                  <c:v>142.05463922950295</c:v>
                </c:pt>
                <c:pt idx="5">
                  <c:v>135.09241929248603</c:v>
                </c:pt>
                <c:pt idx="6">
                  <c:v>130.89458758269504</c:v>
                </c:pt>
                <c:pt idx="7">
                  <c:v>131.91902323736039</c:v>
                </c:pt>
                <c:pt idx="8">
                  <c:v>127.57268176514398</c:v>
                </c:pt>
                <c:pt idx="9">
                  <c:v>124.71957142431231</c:v>
                </c:pt>
                <c:pt idx="10">
                  <c:v>122.6706647845584</c:v>
                </c:pt>
                <c:pt idx="11">
                  <c:v>124.22751996345136</c:v>
                </c:pt>
                <c:pt idx="12">
                  <c:v>121.51151486181726</c:v>
                </c:pt>
                <c:pt idx="13">
                  <c:v>118.84352303636248</c:v>
                </c:pt>
                <c:pt idx="14">
                  <c:v>115.73189545813783</c:v>
                </c:pt>
                <c:pt idx="15">
                  <c:v>112.78409165256312</c:v>
                </c:pt>
                <c:pt idx="16">
                  <c:v>111.17432205867703</c:v>
                </c:pt>
                <c:pt idx="17">
                  <c:v>99.99472775419855</c:v>
                </c:pt>
                <c:pt idx="18">
                  <c:v>96.842187390913679</c:v>
                </c:pt>
                <c:pt idx="19">
                  <c:v>87.782413673178041</c:v>
                </c:pt>
                <c:pt idx="20">
                  <c:v>94.447670912187093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C0-413B-A0CB-B1A193ABB2D0}"/>
            </c:ext>
          </c:extLst>
        </c:ser>
        <c:ser>
          <c:idx val="2"/>
          <c:order val="2"/>
          <c:tx>
            <c:strRef>
              <c:f>'Julie BS - Cijfers'!$A$69</c:f>
              <c:strCache>
                <c:ptCount val="1"/>
                <c:pt idx="0">
                  <c:v>Aantal zelfstandigen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'Julie BS - Cijfers'!$B$59:$V$59</c:f>
              <c:numCache>
                <c:formatCode>General</c:formatCode>
                <c:ptCount val="2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'Julie BS - Cijfers'!$B$74:$V$74</c:f>
              <c:numCache>
                <c:formatCode>0.00</c:formatCode>
                <c:ptCount val="21"/>
                <c:pt idx="0" formatCode="General">
                  <c:v>100</c:v>
                </c:pt>
                <c:pt idx="1">
                  <c:v>100.39406580500423</c:v>
                </c:pt>
                <c:pt idx="2">
                  <c:v>101.22076007112406</c:v>
                </c:pt>
                <c:pt idx="3">
                  <c:v>102.84578336695355</c:v>
                </c:pt>
                <c:pt idx="4">
                  <c:v>105.64057963540121</c:v>
                </c:pt>
                <c:pt idx="5">
                  <c:v>107.8834259110574</c:v>
                </c:pt>
                <c:pt idx="6">
                  <c:v>109.07253881759161</c:v>
                </c:pt>
                <c:pt idx="7">
                  <c:v>111.2110666618219</c:v>
                </c:pt>
                <c:pt idx="8">
                  <c:v>113.19745369257944</c:v>
                </c:pt>
                <c:pt idx="9">
                  <c:v>115.3778261211008</c:v>
                </c:pt>
                <c:pt idx="10">
                  <c:v>116.79151668450237</c:v>
                </c:pt>
                <c:pt idx="11">
                  <c:v>118.46635496163071</c:v>
                </c:pt>
                <c:pt idx="12">
                  <c:v>120.80320503729088</c:v>
                </c:pt>
                <c:pt idx="13">
                  <c:v>123.36170247680083</c:v>
                </c:pt>
                <c:pt idx="14">
                  <c:v>126.77232912582322</c:v>
                </c:pt>
                <c:pt idx="15">
                  <c:v>129.67484296559715</c:v>
                </c:pt>
                <c:pt idx="16">
                  <c:v>133.30184245103771</c:v>
                </c:pt>
                <c:pt idx="17">
                  <c:v>137.9848023282936</c:v>
                </c:pt>
                <c:pt idx="18">
                  <c:v>143.41287711405985</c:v>
                </c:pt>
                <c:pt idx="19">
                  <c:v>146.41314552890029</c:v>
                </c:pt>
                <c:pt idx="20">
                  <c:v>145.49760477848741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C0-413B-A0CB-B1A193ABB2D0}"/>
            </c:ext>
          </c:extLst>
        </c:ser>
        <c:ser>
          <c:idx val="3"/>
          <c:order val="3"/>
          <c:tx>
            <c:v>Gewone bijdragen per capita</c:v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'Julie BS - Cijfers'!$B$59:$V$59</c:f>
              <c:numCache>
                <c:formatCode>General</c:formatCode>
                <c:ptCount val="2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'Julie BS - Cijfers'!$B$75:$V$75</c:f>
              <c:numCache>
                <c:formatCode>0.00</c:formatCode>
                <c:ptCount val="21"/>
                <c:pt idx="0" formatCode="General">
                  <c:v>100</c:v>
                </c:pt>
                <c:pt idx="1">
                  <c:v>101.45626095793077</c:v>
                </c:pt>
                <c:pt idx="2">
                  <c:v>100.93647775424967</c:v>
                </c:pt>
                <c:pt idx="3">
                  <c:v>103.3738574129915</c:v>
                </c:pt>
                <c:pt idx="4">
                  <c:v>103.00770819528327</c:v>
                </c:pt>
                <c:pt idx="5">
                  <c:v>110.56303563316624</c:v>
                </c:pt>
                <c:pt idx="6">
                  <c:v>115.45168136501135</c:v>
                </c:pt>
                <c:pt idx="7">
                  <c:v>114.45802663479952</c:v>
                </c:pt>
                <c:pt idx="8">
                  <c:v>110.4903401885166</c:v>
                </c:pt>
                <c:pt idx="9">
                  <c:v>109.6993922601613</c:v>
                </c:pt>
                <c:pt idx="10">
                  <c:v>112.14599002078539</c:v>
                </c:pt>
                <c:pt idx="11">
                  <c:v>110.84973543599322</c:v>
                </c:pt>
                <c:pt idx="12">
                  <c:v>115.33991070114551</c:v>
                </c:pt>
                <c:pt idx="13">
                  <c:v>113.45036459019168</c:v>
                </c:pt>
                <c:pt idx="14">
                  <c:v>110.26817067556208</c:v>
                </c:pt>
                <c:pt idx="15">
                  <c:v>107.78987135139123</c:v>
                </c:pt>
                <c:pt idx="16">
                  <c:v>105.54460094480524</c:v>
                </c:pt>
                <c:pt idx="17">
                  <c:v>94.208304317600607</c:v>
                </c:pt>
                <c:pt idx="18">
                  <c:v>97.503702193104274</c:v>
                </c:pt>
                <c:pt idx="19">
                  <c:v>90.249558003232096</c:v>
                </c:pt>
                <c:pt idx="20">
                  <c:v>95.841594575310253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C0-413B-A0CB-B1A193ABB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0350975"/>
        <c:axId val="1980355775"/>
      </c:lineChart>
      <c:lineChart>
        <c:grouping val="standard"/>
        <c:varyColors val="0"/>
        <c:ser>
          <c:idx val="4"/>
          <c:order val="4"/>
          <c:tx>
            <c:v>Aandeel vennootschapsbijdrage in totale bijdragen</c:v>
          </c:tx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'Julie BS - Cijfers'!$B$59:$V$59</c:f>
              <c:numCache>
                <c:formatCode>General</c:formatCode>
                <c:ptCount val="2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'Julie BS - Cijfers'!$B$87:$V$87</c:f>
              <c:numCache>
                <c:formatCode>0%</c:formatCode>
                <c:ptCount val="21"/>
                <c:pt idx="0">
                  <c:v>3.9053021037719099E-2</c:v>
                </c:pt>
                <c:pt idx="1">
                  <c:v>4.3338094037073976E-2</c:v>
                </c:pt>
                <c:pt idx="2">
                  <c:v>6.2573262951487393E-2</c:v>
                </c:pt>
                <c:pt idx="3">
                  <c:v>5.5884120756314375E-2</c:v>
                </c:pt>
                <c:pt idx="4">
                  <c:v>5.690272726298503E-2</c:v>
                </c:pt>
                <c:pt idx="5">
                  <c:v>5.3025982536383465E-2</c:v>
                </c:pt>
                <c:pt idx="6">
                  <c:v>5.0655166052487752E-2</c:v>
                </c:pt>
                <c:pt idx="7">
                  <c:v>5.2357816306751875E-2</c:v>
                </c:pt>
                <c:pt idx="8">
                  <c:v>5.3579849724632637E-2</c:v>
                </c:pt>
                <c:pt idx="9">
                  <c:v>5.324349886857542E-2</c:v>
                </c:pt>
                <c:pt idx="10">
                  <c:v>5.1358270612411237E-2</c:v>
                </c:pt>
                <c:pt idx="11">
                  <c:v>5.2093700568622961E-2</c:v>
                </c:pt>
                <c:pt idx="12">
                  <c:v>4.9579987330929186E-2</c:v>
                </c:pt>
                <c:pt idx="13">
                  <c:v>4.9754666410501081E-2</c:v>
                </c:pt>
                <c:pt idx="14">
                  <c:v>5.008437000896946E-2</c:v>
                </c:pt>
                <c:pt idx="15">
                  <c:v>5.0336596017513717E-2</c:v>
                </c:pt>
                <c:pt idx="16">
                  <c:v>5.0735818999448942E-2</c:v>
                </c:pt>
                <c:pt idx="17">
                  <c:v>5.2111319108983603E-2</c:v>
                </c:pt>
                <c:pt idx="18">
                  <c:v>4.937330916117335E-2</c:v>
                </c:pt>
                <c:pt idx="19">
                  <c:v>4.9474771840157618E-2</c:v>
                </c:pt>
                <c:pt idx="20">
                  <c:v>5.2435897682468577E-2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C0-413B-A0CB-B1A193ABB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7861871"/>
        <c:axId val="1267867631"/>
      </c:lineChart>
      <c:catAx>
        <c:axId val="198035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980355775"/>
        <c:crosses val="autoZero"/>
        <c:auto val="1"/>
        <c:lblAlgn val="ctr"/>
        <c:lblOffset val="100"/>
        <c:noMultiLvlLbl val="0"/>
      </c:catAx>
      <c:valAx>
        <c:axId val="198035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nl-BE"/>
                  <a:t>Procentuele groei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nl-B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980350975"/>
        <c:crosses val="autoZero"/>
        <c:crossBetween val="between"/>
      </c:valAx>
      <c:valAx>
        <c:axId val="126786763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nl-BE"/>
                  <a:t>Aandeel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nl-BE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267861871"/>
        <c:crosses val="max"/>
        <c:crossBetween val="between"/>
      </c:valAx>
      <c:catAx>
        <c:axId val="12678618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678676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nl-BE"/>
              <a:t>W1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Aantal werknemers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'Julie BS - Cijfers'!$B$59:$V$59</c:f>
              <c:numCache>
                <c:formatCode>General</c:formatCode>
                <c:ptCount val="2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'Julie BS - Cijfers'!$B$101:$V$101</c:f>
              <c:numCache>
                <c:formatCode>0.00</c:formatCode>
                <c:ptCount val="21"/>
                <c:pt idx="0" formatCode="0">
                  <c:v>100</c:v>
                </c:pt>
                <c:pt idx="1">
                  <c:v>100.88025649392934</c:v>
                </c:pt>
                <c:pt idx="2">
                  <c:v>102.09201763615263</c:v>
                </c:pt>
                <c:pt idx="3">
                  <c:v>103.96447600052095</c:v>
                </c:pt>
                <c:pt idx="4">
                  <c:v>106.30151499409541</c:v>
                </c:pt>
                <c:pt idx="5">
                  <c:v>107.25376773017211</c:v>
                </c:pt>
                <c:pt idx="6">
                  <c:v>106.85222771299253</c:v>
                </c:pt>
                <c:pt idx="7">
                  <c:v>108.3536127626509</c:v>
                </c:pt>
                <c:pt idx="8">
                  <c:v>109.00149114168184</c:v>
                </c:pt>
                <c:pt idx="9">
                  <c:v>108.79118016766927</c:v>
                </c:pt>
                <c:pt idx="10">
                  <c:v>108.43090628928145</c:v>
                </c:pt>
                <c:pt idx="11">
                  <c:v>109.07538972356073</c:v>
                </c:pt>
                <c:pt idx="12">
                  <c:v>109.82862845695367</c:v>
                </c:pt>
                <c:pt idx="13">
                  <c:v>111.25348091587409</c:v>
                </c:pt>
                <c:pt idx="14">
                  <c:v>112.91325769825667</c:v>
                </c:pt>
                <c:pt idx="15">
                  <c:v>114.55096733975343</c:v>
                </c:pt>
                <c:pt idx="16">
                  <c:v>116.09885727915659</c:v>
                </c:pt>
                <c:pt idx="17">
                  <c:v>115.50690768823279</c:v>
                </c:pt>
                <c:pt idx="18">
                  <c:v>117.62558734739204</c:v>
                </c:pt>
                <c:pt idx="19">
                  <c:v>119.11102201007063</c:v>
                </c:pt>
                <c:pt idx="20">
                  <c:v>116.85859323440185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55-4126-A69B-BA2F4F8F63D0}"/>
            </c:ext>
          </c:extLst>
        </c:ser>
        <c:ser>
          <c:idx val="1"/>
          <c:order val="1"/>
          <c:tx>
            <c:v>Werknemersbijdragen per capita</c:v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'Julie BS - Cijfers'!$B$59:$V$59</c:f>
              <c:numCache>
                <c:formatCode>General</c:formatCode>
                <c:ptCount val="2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'Julie BS - Cijfers'!$B$102:$V$102</c:f>
              <c:numCache>
                <c:formatCode>0.00</c:formatCode>
                <c:ptCount val="21"/>
                <c:pt idx="0" formatCode="0">
                  <c:v>100</c:v>
                </c:pt>
                <c:pt idx="1">
                  <c:v>100.2979294324</c:v>
                </c:pt>
                <c:pt idx="2">
                  <c:v>97.989869709735459</c:v>
                </c:pt>
                <c:pt idx="3">
                  <c:v>96.822292968392276</c:v>
                </c:pt>
                <c:pt idx="4">
                  <c:v>98.939281017111185</c:v>
                </c:pt>
                <c:pt idx="5">
                  <c:v>97.630587798233407</c:v>
                </c:pt>
                <c:pt idx="6">
                  <c:v>99.677978906863771</c:v>
                </c:pt>
                <c:pt idx="7">
                  <c:v>98.494294080317971</c:v>
                </c:pt>
                <c:pt idx="8">
                  <c:v>98.985700220345294</c:v>
                </c:pt>
                <c:pt idx="9">
                  <c:v>99.774904339368689</c:v>
                </c:pt>
                <c:pt idx="10">
                  <c:v>100.45376533540777</c:v>
                </c:pt>
                <c:pt idx="11">
                  <c:v>100.76365284352016</c:v>
                </c:pt>
                <c:pt idx="12">
                  <c:v>101.62646603370774</c:v>
                </c:pt>
                <c:pt idx="13">
                  <c:v>99.182610847120444</c:v>
                </c:pt>
                <c:pt idx="14">
                  <c:v>98.861999070584034</c:v>
                </c:pt>
                <c:pt idx="15">
                  <c:v>99.150369906595685</c:v>
                </c:pt>
                <c:pt idx="16">
                  <c:v>99.873484667616694</c:v>
                </c:pt>
                <c:pt idx="17">
                  <c:v>98.446426259301901</c:v>
                </c:pt>
                <c:pt idx="18">
                  <c:v>99.409605782286775</c:v>
                </c:pt>
                <c:pt idx="19">
                  <c:v>97.667849620595561</c:v>
                </c:pt>
                <c:pt idx="20">
                  <c:v>105.04418195936458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55-4126-A69B-BA2F4F8F63D0}"/>
            </c:ext>
          </c:extLst>
        </c:ser>
        <c:ser>
          <c:idx val="2"/>
          <c:order val="2"/>
          <c:tx>
            <c:v>Werkgeversbijdragen per capita</c:v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'Julie BS - Cijfers'!$B$59:$V$59</c:f>
              <c:numCache>
                <c:formatCode>General</c:formatCode>
                <c:ptCount val="2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'Julie BS - Cijfers'!$B$103:$V$103</c:f>
              <c:numCache>
                <c:formatCode>0.00</c:formatCode>
                <c:ptCount val="21"/>
                <c:pt idx="0" formatCode="0">
                  <c:v>100</c:v>
                </c:pt>
                <c:pt idx="1">
                  <c:v>99.97882238967324</c:v>
                </c:pt>
                <c:pt idx="2">
                  <c:v>99.417928938842721</c:v>
                </c:pt>
                <c:pt idx="3">
                  <c:v>100.45514803565078</c:v>
                </c:pt>
                <c:pt idx="4">
                  <c:v>102.93960049435823</c:v>
                </c:pt>
                <c:pt idx="5">
                  <c:v>103.13157002055117</c:v>
                </c:pt>
                <c:pt idx="6">
                  <c:v>105.4937714717438</c:v>
                </c:pt>
                <c:pt idx="7">
                  <c:v>104.10535038853476</c:v>
                </c:pt>
                <c:pt idx="8">
                  <c:v>105.36493679192662</c:v>
                </c:pt>
                <c:pt idx="9">
                  <c:v>107.03234325144541</c:v>
                </c:pt>
                <c:pt idx="10">
                  <c:v>108.6925172067573</c:v>
                </c:pt>
                <c:pt idx="11">
                  <c:v>108.94746835159719</c:v>
                </c:pt>
                <c:pt idx="12">
                  <c:v>110.38843503233069</c:v>
                </c:pt>
                <c:pt idx="13">
                  <c:v>103.79186420598234</c:v>
                </c:pt>
                <c:pt idx="14">
                  <c:v>102.75960663023498</c:v>
                </c:pt>
                <c:pt idx="15">
                  <c:v>100.52997800266591</c:v>
                </c:pt>
                <c:pt idx="16">
                  <c:v>101.30553650152014</c:v>
                </c:pt>
                <c:pt idx="17">
                  <c:v>99.604104048072728</c:v>
                </c:pt>
                <c:pt idx="18">
                  <c:v>100.75004128234438</c:v>
                </c:pt>
                <c:pt idx="19">
                  <c:v>98.427814367269605</c:v>
                </c:pt>
                <c:pt idx="20">
                  <c:v>103.82212208705242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55-4126-A69B-BA2F4F8F6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0350975"/>
        <c:axId val="1980355775"/>
      </c:lineChart>
      <c:catAx>
        <c:axId val="198035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980355775"/>
        <c:crosses val="autoZero"/>
        <c:auto val="1"/>
        <c:lblAlgn val="ctr"/>
        <c:lblOffset val="100"/>
        <c:noMultiLvlLbl val="0"/>
      </c:catAx>
      <c:valAx>
        <c:axId val="198035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nl-BE"/>
                  <a:t>Procentuele groei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nl-B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980350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nl-BE"/>
              <a:t>W2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Aantal werknemers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'Julie BS - Cijfers'!$B$59:$V$59</c:f>
              <c:numCache>
                <c:formatCode>General</c:formatCode>
                <c:ptCount val="2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'Julie BS - Cijfers'!$B$108:$V$108</c:f>
              <c:numCache>
                <c:formatCode>0.00</c:formatCode>
                <c:ptCount val="21"/>
                <c:pt idx="0" formatCode="0">
                  <c:v>100</c:v>
                </c:pt>
                <c:pt idx="1">
                  <c:v>100.86480645168811</c:v>
                </c:pt>
                <c:pt idx="2">
                  <c:v>102.04841447293261</c:v>
                </c:pt>
                <c:pt idx="3">
                  <c:v>103.93828789655663</c:v>
                </c:pt>
                <c:pt idx="4">
                  <c:v>106.2763020766546</c:v>
                </c:pt>
                <c:pt idx="5">
                  <c:v>107.23547542497161</c:v>
                </c:pt>
                <c:pt idx="6">
                  <c:v>106.83647073635322</c:v>
                </c:pt>
                <c:pt idx="7">
                  <c:v>108.34905143491306</c:v>
                </c:pt>
                <c:pt idx="8">
                  <c:v>109.00999857779351</c:v>
                </c:pt>
                <c:pt idx="9">
                  <c:v>108.79678418133363</c:v>
                </c:pt>
                <c:pt idx="10">
                  <c:v>108.44770243710231</c:v>
                </c:pt>
                <c:pt idx="11">
                  <c:v>109.09192116779469</c:v>
                </c:pt>
                <c:pt idx="12">
                  <c:v>109.86189442565006</c:v>
                </c:pt>
                <c:pt idx="13">
                  <c:v>111.29491316380319</c:v>
                </c:pt>
                <c:pt idx="14">
                  <c:v>112.9709018887368</c:v>
                </c:pt>
                <c:pt idx="15">
                  <c:v>114.62310945627412</c:v>
                </c:pt>
                <c:pt idx="16">
                  <c:v>116.18742000088594</c:v>
                </c:pt>
                <c:pt idx="17">
                  <c:v>115.60551023405785</c:v>
                </c:pt>
                <c:pt idx="18">
                  <c:v>117.75295457565785</c:v>
                </c:pt>
                <c:pt idx="19">
                  <c:v>119.26005628207247</c:v>
                </c:pt>
                <c:pt idx="20">
                  <c:v>117.0165547164796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87-4EB2-A9D1-B9C93A8F568E}"/>
            </c:ext>
          </c:extLst>
        </c:ser>
        <c:ser>
          <c:idx val="1"/>
          <c:order val="1"/>
          <c:tx>
            <c:v>Werknemersbijdragen per capita</c:v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'Julie BS - Cijfers'!$B$59:$V$59</c:f>
              <c:numCache>
                <c:formatCode>General</c:formatCode>
                <c:ptCount val="2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'Julie BS - Cijfers'!$B$109:$V$109</c:f>
              <c:numCache>
                <c:formatCode>_(* #,##0.00_);_(* \(#,##0.00\);_(* "-"??_);_(@_)</c:formatCode>
                <c:ptCount val="21"/>
                <c:pt idx="0" formatCode="0">
                  <c:v>100</c:v>
                </c:pt>
                <c:pt idx="1">
                  <c:v>100.31329264282938</c:v>
                </c:pt>
                <c:pt idx="2">
                  <c:v>98.031738741262586</c:v>
                </c:pt>
                <c:pt idx="3">
                  <c:v>96.846688139080882</c:v>
                </c:pt>
                <c:pt idx="4">
                  <c:v>98.962753304678529</c:v>
                </c:pt>
                <c:pt idx="5">
                  <c:v>97.647241694733879</c:v>
                </c:pt>
                <c:pt idx="6">
                  <c:v>99.692680099951303</c:v>
                </c:pt>
                <c:pt idx="7">
                  <c:v>98.49844053799022</c:v>
                </c:pt>
                <c:pt idx="8">
                  <c:v>98.977975107680535</c:v>
                </c:pt>
                <c:pt idx="9">
                  <c:v>99.769765033722024</c:v>
                </c:pt>
                <c:pt idx="10">
                  <c:v>100.43820727143941</c:v>
                </c:pt>
                <c:pt idx="11">
                  <c:v>100.74838343869196</c:v>
                </c:pt>
                <c:pt idx="12">
                  <c:v>101.59569373676639</c:v>
                </c:pt>
                <c:pt idx="13">
                  <c:v>99.145687699367684</c:v>
                </c:pt>
                <c:pt idx="14">
                  <c:v>98.811554046153873</c:v>
                </c:pt>
                <c:pt idx="15">
                  <c:v>99.087966107110532</c:v>
                </c:pt>
                <c:pt idx="16">
                  <c:v>99.797357083144192</c:v>
                </c:pt>
                <c:pt idx="17">
                  <c:v>98.362459083023779</c:v>
                </c:pt>
                <c:pt idx="18">
                  <c:v>99.302079597511934</c:v>
                </c:pt>
                <c:pt idx="19">
                  <c:v>97.545798220319824</c:v>
                </c:pt>
                <c:pt idx="20">
                  <c:v>104.9023820686897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87-4EB2-A9D1-B9C93A8F568E}"/>
            </c:ext>
          </c:extLst>
        </c:ser>
        <c:ser>
          <c:idx val="2"/>
          <c:order val="2"/>
          <c:tx>
            <c:v>Werkgeversbijdragen per capita</c:v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'Julie BS - Cijfers'!$B$59:$V$59</c:f>
              <c:numCache>
                <c:formatCode>General</c:formatCode>
                <c:ptCount val="21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</c:numCache>
            </c:numRef>
          </c:cat>
          <c:val>
            <c:numRef>
              <c:f>'Julie BS - Cijfers'!$B$110:$V$110</c:f>
              <c:numCache>
                <c:formatCode>_(* #,##0.00_);_(* \(#,##0.00\);_(* "-"??_);_(@_)</c:formatCode>
                <c:ptCount val="21"/>
                <c:pt idx="0" formatCode="0">
                  <c:v>100</c:v>
                </c:pt>
                <c:pt idx="1">
                  <c:v>99.994136720642473</c:v>
                </c:pt>
                <c:pt idx="2">
                  <c:v>99.460408150351356</c:v>
                </c:pt>
                <c:pt idx="3">
                  <c:v>100.48045853396422</c:v>
                </c:pt>
                <c:pt idx="4">
                  <c:v>102.96402181499077</c:v>
                </c:pt>
                <c:pt idx="5">
                  <c:v>103.14916227859027</c:v>
                </c:pt>
                <c:pt idx="6">
                  <c:v>105.5093304178716</c:v>
                </c:pt>
                <c:pt idx="7">
                  <c:v>104.10973306301226</c:v>
                </c:pt>
                <c:pt idx="8">
                  <c:v>105.35671382632839</c:v>
                </c:pt>
                <c:pt idx="9">
                  <c:v>107.02683012237064</c:v>
                </c:pt>
                <c:pt idx="10">
                  <c:v>108.67568314254935</c:v>
                </c:pt>
                <c:pt idx="11">
                  <c:v>108.9309587972855</c:v>
                </c:pt>
                <c:pt idx="12">
                  <c:v>110.35500962815915</c:v>
                </c:pt>
                <c:pt idx="13">
                  <c:v>103.75322515116341</c:v>
                </c:pt>
                <c:pt idx="14">
                  <c:v>102.70717282436797</c:v>
                </c:pt>
                <c:pt idx="15">
                  <c:v>100.46670589792811</c:v>
                </c:pt>
                <c:pt idx="16">
                  <c:v>101.22831734957788</c:v>
                </c:pt>
                <c:pt idx="17">
                  <c:v>99.519149462310509</c:v>
                </c:pt>
                <c:pt idx="18">
                  <c:v>100.64106521841427</c:v>
                </c:pt>
                <c:pt idx="19">
                  <c:v>98.304813271041183</c:v>
                </c:pt>
                <c:pt idx="20">
                  <c:v>103.6819718637181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87-4EB2-A9D1-B9C93A8F5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0350975"/>
        <c:axId val="1980355775"/>
      </c:lineChart>
      <c:catAx>
        <c:axId val="198035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980355775"/>
        <c:crosses val="autoZero"/>
        <c:auto val="1"/>
        <c:lblAlgn val="ctr"/>
        <c:lblOffset val="100"/>
        <c:noMultiLvlLbl val="0"/>
      </c:catAx>
      <c:valAx>
        <c:axId val="198035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nl-BE"/>
                  <a:t>Procentuele groei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nl-B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l-BE"/>
          </a:p>
        </c:txPr>
        <c:crossAx val="1980350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13" Type="http://schemas.openxmlformats.org/officeDocument/2006/relationships/chart" Target="../charts/chart20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12" Type="http://schemas.openxmlformats.org/officeDocument/2006/relationships/chart" Target="../charts/chart19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11" Type="http://schemas.openxmlformats.org/officeDocument/2006/relationships/chart" Target="../charts/chart18.xml"/><Relationship Id="rId5" Type="http://schemas.openxmlformats.org/officeDocument/2006/relationships/chart" Target="../charts/chart12.xml"/><Relationship Id="rId10" Type="http://schemas.openxmlformats.org/officeDocument/2006/relationships/chart" Target="../charts/chart17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238123</xdr:colOff>
      <xdr:row>2</xdr:row>
      <xdr:rowOff>139609</xdr:rowOff>
    </xdr:from>
    <xdr:to>
      <xdr:col>37</xdr:col>
      <xdr:colOff>2721</xdr:colOff>
      <xdr:row>29</xdr:row>
      <xdr:rowOff>22316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6814A1-8301-2867-C14B-12C3BDE68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1356993</xdr:colOff>
      <xdr:row>107</xdr:row>
      <xdr:rowOff>95250</xdr:rowOff>
    </xdr:from>
    <xdr:to>
      <xdr:col>14</xdr:col>
      <xdr:colOff>26034</xdr:colOff>
      <xdr:row>137</xdr:row>
      <xdr:rowOff>67945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545DF7-9992-0E5C-AF5F-C41063ECAB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1079659</xdr:colOff>
      <xdr:row>122</xdr:row>
      <xdr:rowOff>39528</xdr:rowOff>
    </xdr:from>
    <xdr:to>
      <xdr:col>7</xdr:col>
      <xdr:colOff>542290</xdr:colOff>
      <xdr:row>150</xdr:row>
      <xdr:rowOff>35718</xdr:rowOff>
    </xdr:to>
    <xdr:graphicFrame macro="">
      <xdr:nvGraphicFramePr>
        <xdr:cNvPr id="11" name="Chart 3">
          <a:extLst>
            <a:ext uri="{FF2B5EF4-FFF2-40B4-BE49-F238E27FC236}">
              <a16:creationId xmlns:a16="http://schemas.microsoft.com/office/drawing/2014/main" id="{7AF85D9F-B643-1A51-4B78-893EDB58EB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350202</xdr:colOff>
      <xdr:row>115</xdr:row>
      <xdr:rowOff>163512</xdr:rowOff>
    </xdr:from>
    <xdr:to>
      <xdr:col>21</xdr:col>
      <xdr:colOff>869950</xdr:colOff>
      <xdr:row>138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4CC643-207F-F2B4-A04F-EA2688628A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561656</xdr:colOff>
      <xdr:row>108</xdr:row>
      <xdr:rowOff>35876</xdr:rowOff>
    </xdr:from>
    <xdr:to>
      <xdr:col>21</xdr:col>
      <xdr:colOff>650874</xdr:colOff>
      <xdr:row>128</xdr:row>
      <xdr:rowOff>158749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3A1018C-E9F9-805F-C992-91E59E15B6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835977</xdr:colOff>
      <xdr:row>139</xdr:row>
      <xdr:rowOff>51117</xdr:rowOff>
    </xdr:from>
    <xdr:to>
      <xdr:col>21</xdr:col>
      <xdr:colOff>657225</xdr:colOff>
      <xdr:row>164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825BB24-EE57-76E7-80E8-EAD2AA66C8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1071563</xdr:colOff>
      <xdr:row>151</xdr:row>
      <xdr:rowOff>29845</xdr:rowOff>
    </xdr:from>
    <xdr:to>
      <xdr:col>2</xdr:col>
      <xdr:colOff>458310</xdr:colOff>
      <xdr:row>169</xdr:row>
      <xdr:rowOff>122397</xdr:rowOff>
    </xdr:to>
    <xdr:graphicFrame macro="">
      <xdr:nvGraphicFramePr>
        <xdr:cNvPr id="12" name="Chart 7">
          <a:extLst>
            <a:ext uri="{FF2B5EF4-FFF2-40B4-BE49-F238E27FC236}">
              <a16:creationId xmlns:a16="http://schemas.microsoft.com/office/drawing/2014/main" id="{3C5E74EF-0009-274C-D91A-3AC6E40454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4762</xdr:rowOff>
    </xdr:from>
    <xdr:to>
      <xdr:col>8</xdr:col>
      <xdr:colOff>304800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6F5F13-D8EF-A711-0274-CB473F7E7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609599</xdr:colOff>
      <xdr:row>17</xdr:row>
      <xdr:rowOff>180974</xdr:rowOff>
    </xdr:from>
    <xdr:to>
      <xdr:col>9</xdr:col>
      <xdr:colOff>76200</xdr:colOff>
      <xdr:row>34</xdr:row>
      <xdr:rowOff>142874</xdr:rowOff>
    </xdr:to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46E4DB27-F574-4FFD-836B-E271B6F0FE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172509</xdr:colOff>
      <xdr:row>17</xdr:row>
      <xdr:rowOff>186268</xdr:rowOff>
    </xdr:from>
    <xdr:to>
      <xdr:col>17</xdr:col>
      <xdr:colOff>567267</xdr:colOff>
      <xdr:row>34</xdr:row>
      <xdr:rowOff>138643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7430FB6A-5741-422B-A9BB-6962C34D8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243417</xdr:colOff>
      <xdr:row>17</xdr:row>
      <xdr:rowOff>10583</xdr:rowOff>
    </xdr:from>
    <xdr:to>
      <xdr:col>25</xdr:col>
      <xdr:colOff>548218</xdr:colOff>
      <xdr:row>34</xdr:row>
      <xdr:rowOff>44450</xdr:rowOff>
    </xdr:to>
    <xdr:graphicFrame macro="">
      <xdr:nvGraphicFramePr>
        <xdr:cNvPr id="24" name="Chart 4">
          <a:extLst>
            <a:ext uri="{FF2B5EF4-FFF2-40B4-BE49-F238E27FC236}">
              <a16:creationId xmlns:a16="http://schemas.microsoft.com/office/drawing/2014/main" id="{35E9BF03-953E-4971-80BB-F3114FA48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53</xdr:row>
      <xdr:rowOff>10583</xdr:rowOff>
    </xdr:from>
    <xdr:to>
      <xdr:col>8</xdr:col>
      <xdr:colOff>304800</xdr:colOff>
      <xdr:row>67</xdr:row>
      <xdr:rowOff>86783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7255571-54C4-416E-8DBC-53F54548E9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10584</xdr:colOff>
      <xdr:row>53</xdr:row>
      <xdr:rowOff>0</xdr:rowOff>
    </xdr:from>
    <xdr:to>
      <xdr:col>16</xdr:col>
      <xdr:colOff>315384</xdr:colOff>
      <xdr:row>67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5C63D58-9D94-4AE9-BC96-C7EE4CE1FE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500590</xdr:colOff>
      <xdr:row>53</xdr:row>
      <xdr:rowOff>109007</xdr:rowOff>
    </xdr:from>
    <xdr:to>
      <xdr:col>28</xdr:col>
      <xdr:colOff>264583</xdr:colOff>
      <xdr:row>70</xdr:row>
      <xdr:rowOff>189652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C65BD0C-3FA3-F87B-210B-A7DDA040E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603249</xdr:colOff>
      <xdr:row>1</xdr:row>
      <xdr:rowOff>178857</xdr:rowOff>
    </xdr:from>
    <xdr:to>
      <xdr:col>16</xdr:col>
      <xdr:colOff>264583</xdr:colOff>
      <xdr:row>16</xdr:row>
      <xdr:rowOff>64557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37B3A4-6381-1DB0-775A-78C1D3563E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35</xdr:row>
      <xdr:rowOff>0</xdr:rowOff>
    </xdr:from>
    <xdr:to>
      <xdr:col>9</xdr:col>
      <xdr:colOff>80434</xdr:colOff>
      <xdr:row>51</xdr:row>
      <xdr:rowOff>152400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45083B3A-2B20-4E03-86C4-BEB0C0729F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137583</xdr:colOff>
      <xdr:row>35</xdr:row>
      <xdr:rowOff>42333</xdr:rowOff>
    </xdr:from>
    <xdr:to>
      <xdr:col>17</xdr:col>
      <xdr:colOff>532341</xdr:colOff>
      <xdr:row>51</xdr:row>
      <xdr:rowOff>185208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B20A2465-FEAB-4AF0-A38F-2E7AA0145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169334</xdr:colOff>
      <xdr:row>35</xdr:row>
      <xdr:rowOff>21167</xdr:rowOff>
    </xdr:from>
    <xdr:to>
      <xdr:col>25</xdr:col>
      <xdr:colOff>474135</xdr:colOff>
      <xdr:row>52</xdr:row>
      <xdr:rowOff>55034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BF2DB428-5EF6-43CD-B7B7-89FBD44A8E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27</xdr:col>
      <xdr:colOff>0</xdr:colOff>
      <xdr:row>17</xdr:row>
      <xdr:rowOff>0</xdr:rowOff>
    </xdr:from>
    <xdr:to>
      <xdr:col>34</xdr:col>
      <xdr:colOff>304801</xdr:colOff>
      <xdr:row>34</xdr:row>
      <xdr:rowOff>33867</xdr:rowOff>
    </xdr:to>
    <xdr:graphicFrame macro="">
      <xdr:nvGraphicFramePr>
        <xdr:cNvPr id="10" name="Chart 4">
          <a:extLst>
            <a:ext uri="{FF2B5EF4-FFF2-40B4-BE49-F238E27FC236}">
              <a16:creationId xmlns:a16="http://schemas.microsoft.com/office/drawing/2014/main" id="{50EA3FD7-5C1F-4616-B413-5E831DA665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27</xdr:col>
      <xdr:colOff>0</xdr:colOff>
      <xdr:row>35</xdr:row>
      <xdr:rowOff>0</xdr:rowOff>
    </xdr:from>
    <xdr:to>
      <xdr:col>34</xdr:col>
      <xdr:colOff>304801</xdr:colOff>
      <xdr:row>52</xdr:row>
      <xdr:rowOff>33867</xdr:rowOff>
    </xdr:to>
    <xdr:graphicFrame macro="">
      <xdr:nvGraphicFramePr>
        <xdr:cNvPr id="12" name="Chart 4">
          <a:extLst>
            <a:ext uri="{FF2B5EF4-FFF2-40B4-BE49-F238E27FC236}">
              <a16:creationId xmlns:a16="http://schemas.microsoft.com/office/drawing/2014/main" id="{DAB62A31-67F2-4753-9B70-96ED7D4486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uleuven-my.sharepoint.com/personal/julie_vinck_kuleuven_be/Documents/Gedeeld/UNIZO/Macro%20niveau/NBB.Stat%20-%20werknemers-%20en%20werkgeversbijdragen.xlsx" TargetMode="External"/><Relationship Id="rId1" Type="http://schemas.openxmlformats.org/officeDocument/2006/relationships/externalLinkPath" Target="NBB.Stat%20-%20werknemers-%20en%20werkgeversbijdragen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Overzicht%20ontvangsten%20&amp;%20uitgaven%20WN's%20&amp;%20ZN'n/A.%20Werknemers_2000-2025.xlsm" TargetMode="External"/><Relationship Id="rId2" Type="http://schemas.openxmlformats.org/officeDocument/2006/relationships/externalLinkPath" Target="https://kuleuven-my.sharepoint.com/personal/julie_vinck_kuleuven_be/Documents/Gedeeld/UNIZO/Overzicht%20ontvangsten%20&amp;%20uitgaven%20WN's%20&amp;%20ZN'n/A.%20Werknemers_2000-2025.xlsm" TargetMode="External"/><Relationship Id="rId1" Type="http://schemas.openxmlformats.org/officeDocument/2006/relationships/externalLinkPath" Target="/personal/julie_vinck_kuleuven_be/Documents/Gedeeld/UNIZO/Overzicht%20ontvangsten%20&amp;%20uitgaven%20WN's%20&amp;%20ZN'n/A.%20Werknemers_2000-2025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uleuven-my.sharepoint.com/personal/julie_vinck_kuleuven_be/Documents/Gedeeld/UNIZO/Macro%20niveau/Samenstelling%20zelfstandigen.xlsx" TargetMode="External"/><Relationship Id="rId1" Type="http://schemas.openxmlformats.org/officeDocument/2006/relationships/externalLinkPath" Target="Samenstelling%20zelfstandig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"/>
      <sheetName val="Overview"/>
    </sheetNames>
    <sheetDataSet>
      <sheetData sheetId="0">
        <row r="38">
          <cell r="D38">
            <v>23708600</v>
          </cell>
          <cell r="E38">
            <v>24414200</v>
          </cell>
          <cell r="F38">
            <v>25251400</v>
          </cell>
          <cell r="G38">
            <v>26446900</v>
          </cell>
          <cell r="H38">
            <v>28215900</v>
          </cell>
          <cell r="I38">
            <v>29803000</v>
          </cell>
          <cell r="J38">
            <v>30354800</v>
          </cell>
          <cell r="K38">
            <v>31041200</v>
          </cell>
          <cell r="L38">
            <v>32720600</v>
          </cell>
          <cell r="M38">
            <v>34116000</v>
          </cell>
          <cell r="N38">
            <v>34914500</v>
          </cell>
          <cell r="O38">
            <v>35324100</v>
          </cell>
          <cell r="P38">
            <v>36239600</v>
          </cell>
          <cell r="Q38">
            <v>35196800</v>
          </cell>
          <cell r="R38">
            <v>36119400</v>
          </cell>
          <cell r="S38">
            <v>36585100</v>
          </cell>
          <cell r="T38">
            <v>37902100</v>
          </cell>
          <cell r="U38">
            <v>37351600</v>
          </cell>
          <cell r="V38">
            <v>39411700</v>
          </cell>
          <cell r="W38">
            <v>42730100</v>
          </cell>
          <cell r="X38">
            <v>46011600</v>
          </cell>
        </row>
        <row r="47">
          <cell r="D47">
            <v>12106600</v>
          </cell>
          <cell r="E47">
            <v>12506700</v>
          </cell>
          <cell r="F47">
            <v>12709200</v>
          </cell>
          <cell r="G47">
            <v>13016500</v>
          </cell>
          <cell r="H47">
            <v>13848300</v>
          </cell>
          <cell r="I47">
            <v>14406900</v>
          </cell>
          <cell r="J47">
            <v>14645900</v>
          </cell>
          <cell r="K47">
            <v>14996600</v>
          </cell>
          <cell r="L47">
            <v>15696900</v>
          </cell>
          <cell r="M47">
            <v>16239800</v>
          </cell>
          <cell r="N47">
            <v>16477400.000000002</v>
          </cell>
          <cell r="O47">
            <v>16683000</v>
          </cell>
          <cell r="P47">
            <v>17036600</v>
          </cell>
          <cell r="Q47">
            <v>17174800</v>
          </cell>
          <cell r="R47">
            <v>17744500</v>
          </cell>
          <cell r="S47">
            <v>18425500</v>
          </cell>
          <cell r="T47">
            <v>19080800</v>
          </cell>
          <cell r="U47">
            <v>18851600</v>
          </cell>
          <cell r="V47">
            <v>19857500</v>
          </cell>
          <cell r="W47">
            <v>21651300</v>
          </cell>
          <cell r="X47">
            <v>23772000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erknemers - Salariés"/>
    </sheetNames>
    <sheetDataSet>
      <sheetData sheetId="0">
        <row r="17">
          <cell r="D17">
            <v>29433699.642999999</v>
          </cell>
          <cell r="E17">
            <v>30644264.41581</v>
          </cell>
          <cell r="F17">
            <v>32369813.188689999</v>
          </cell>
          <cell r="G17">
            <v>32469268.396650009</v>
          </cell>
          <cell r="H17">
            <v>33123848.60579</v>
          </cell>
          <cell r="I17">
            <v>34202276.429250002</v>
          </cell>
          <cell r="J17">
            <v>35153662.244000003</v>
          </cell>
          <cell r="K17">
            <v>37103312.221569993</v>
          </cell>
          <cell r="L17">
            <v>38476948.79958</v>
          </cell>
          <cell r="M17">
            <v>39261165.236699998</v>
          </cell>
          <cell r="N17">
            <v>39580643.798440017</v>
          </cell>
          <cell r="O17">
            <v>41462766.483000003</v>
          </cell>
          <cell r="P17">
            <v>43343818.894059993</v>
          </cell>
          <cell r="Q17">
            <v>44275102.849219993</v>
          </cell>
          <cell r="R17">
            <v>45842493.395020001</v>
          </cell>
          <cell r="S17">
            <v>47640682.781880014</v>
          </cell>
          <cell r="T17">
            <v>47640622.342170008</v>
          </cell>
          <cell r="U17">
            <v>48995747.728340022</v>
          </cell>
          <cell r="V17">
            <v>49961681.021519989</v>
          </cell>
          <cell r="W17">
            <v>51749904.124439999</v>
          </cell>
          <cell r="X17">
            <v>50773063.877800003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ijfers"/>
      <sheetName val="Figuren"/>
    </sheetNames>
    <sheetDataSet>
      <sheetData sheetId="0">
        <row r="8">
          <cell r="E8">
            <v>753826</v>
          </cell>
          <cell r="F8">
            <v>761344</v>
          </cell>
          <cell r="G8">
            <v>774536</v>
          </cell>
          <cell r="H8">
            <v>791288</v>
          </cell>
          <cell r="I8">
            <v>817491</v>
          </cell>
          <cell r="J8">
            <v>839288</v>
          </cell>
          <cell r="K8">
            <v>857909</v>
          </cell>
          <cell r="L8">
            <v>877864</v>
          </cell>
          <cell r="M8">
            <v>896917</v>
          </cell>
          <cell r="N8">
            <v>917653</v>
          </cell>
          <cell r="O8">
            <v>931846</v>
          </cell>
          <cell r="P8">
            <v>947782</v>
          </cell>
          <cell r="Q8">
            <v>968122</v>
          </cell>
          <cell r="R8">
            <v>992505</v>
          </cell>
          <cell r="S8">
            <v>1022895</v>
          </cell>
          <cell r="T8">
            <v>1049159</v>
          </cell>
          <cell r="U8">
            <v>1083177</v>
          </cell>
          <cell r="V8">
            <v>1122616</v>
          </cell>
          <cell r="W8">
            <v>1171728</v>
          </cell>
          <cell r="X8">
            <v>1200729</v>
          </cell>
          <cell r="Y8">
            <v>1225818</v>
          </cell>
        </row>
        <row r="9">
          <cell r="E9">
            <v>102829</v>
          </cell>
          <cell r="F9">
            <v>98373</v>
          </cell>
          <cell r="G9">
            <v>92732</v>
          </cell>
          <cell r="H9">
            <v>89334</v>
          </cell>
          <cell r="I9">
            <v>87463</v>
          </cell>
          <cell r="J9">
            <v>84658</v>
          </cell>
          <cell r="K9">
            <v>76733</v>
          </cell>
          <cell r="L9">
            <v>74721</v>
          </cell>
          <cell r="M9">
            <v>72979</v>
          </cell>
          <cell r="N9">
            <v>70914</v>
          </cell>
          <cell r="O9">
            <v>69255</v>
          </cell>
          <cell r="P9">
            <v>68120</v>
          </cell>
          <cell r="Q9">
            <v>67347</v>
          </cell>
          <cell r="R9">
            <v>66017</v>
          </cell>
          <cell r="S9">
            <v>64868</v>
          </cell>
          <cell r="T9">
            <v>63487</v>
          </cell>
          <cell r="U9">
            <v>61838</v>
          </cell>
          <cell r="V9">
            <v>60131</v>
          </cell>
          <cell r="W9">
            <v>58691</v>
          </cell>
          <cell r="X9">
            <v>56627</v>
          </cell>
          <cell r="Y9">
            <v>53352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8FDAF-EF91-46EA-B4AA-34E9CAD90187}">
  <dimension ref="A1:Y104"/>
  <sheetViews>
    <sheetView zoomScale="80" zoomScaleNormal="80" workbookViewId="0">
      <selection activeCell="F19" sqref="F19"/>
    </sheetView>
  </sheetViews>
  <sheetFormatPr defaultRowHeight="14.4" x14ac:dyDescent="0.3"/>
  <cols>
    <col min="1" max="1" width="49.33203125" bestFit="1" customWidth="1"/>
    <col min="2" max="2" width="22.44140625" customWidth="1"/>
    <col min="3" max="3" width="10.5546875" bestFit="1" customWidth="1"/>
    <col min="4" max="7" width="13" bestFit="1" customWidth="1"/>
    <col min="8" max="19" width="12.6640625" bestFit="1" customWidth="1"/>
    <col min="20" max="20" width="13.6640625" customWidth="1"/>
    <col min="21" max="22" width="12.6640625" bestFit="1" customWidth="1"/>
    <col min="23" max="23" width="18.6640625" style="3" bestFit="1" customWidth="1"/>
    <col min="24" max="25" width="13.33203125" bestFit="1" customWidth="1"/>
  </cols>
  <sheetData>
    <row r="1" spans="1:24" x14ac:dyDescent="0.3">
      <c r="A1" t="s">
        <v>0</v>
      </c>
      <c r="C1" t="s">
        <v>1</v>
      </c>
    </row>
    <row r="2" spans="1:24" x14ac:dyDescent="0.3">
      <c r="A2" t="s">
        <v>2</v>
      </c>
      <c r="C2" t="s">
        <v>3</v>
      </c>
      <c r="G2" t="s">
        <v>4</v>
      </c>
    </row>
    <row r="5" spans="1:24" x14ac:dyDescent="0.3">
      <c r="A5" s="25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7"/>
    </row>
    <row r="6" spans="1:24" x14ac:dyDescent="0.3">
      <c r="A6" s="8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16</v>
      </c>
      <c r="M6" t="s">
        <v>17</v>
      </c>
      <c r="N6" t="s">
        <v>18</v>
      </c>
      <c r="O6" t="s">
        <v>19</v>
      </c>
      <c r="P6" t="s">
        <v>20</v>
      </c>
      <c r="Q6" t="s">
        <v>21</v>
      </c>
      <c r="R6" t="s">
        <v>22</v>
      </c>
      <c r="S6" t="s">
        <v>23</v>
      </c>
      <c r="T6" t="s">
        <v>24</v>
      </c>
      <c r="U6" t="s">
        <v>25</v>
      </c>
      <c r="V6" t="s">
        <v>26</v>
      </c>
      <c r="W6" s="9" t="s">
        <v>27</v>
      </c>
      <c r="X6">
        <v>2024</v>
      </c>
    </row>
    <row r="7" spans="1:24" x14ac:dyDescent="0.3">
      <c r="A7" s="8" t="s">
        <v>28</v>
      </c>
      <c r="C7">
        <v>607586</v>
      </c>
      <c r="D7">
        <v>610856</v>
      </c>
      <c r="E7">
        <v>619161</v>
      </c>
      <c r="F7">
        <v>628879</v>
      </c>
      <c r="G7">
        <v>644711</v>
      </c>
      <c r="H7">
        <v>658933</v>
      </c>
      <c r="I7">
        <v>671678</v>
      </c>
      <c r="J7">
        <v>684305</v>
      </c>
      <c r="K7">
        <v>696052</v>
      </c>
      <c r="L7">
        <v>710144</v>
      </c>
      <c r="M7">
        <v>719354</v>
      </c>
      <c r="N7">
        <v>730291</v>
      </c>
      <c r="O7">
        <v>746190</v>
      </c>
      <c r="P7">
        <v>762006</v>
      </c>
      <c r="Q7">
        <v>781334</v>
      </c>
      <c r="R7">
        <v>797011</v>
      </c>
      <c r="S7">
        <v>817839</v>
      </c>
      <c r="T7">
        <v>845105</v>
      </c>
      <c r="U7">
        <v>874522</v>
      </c>
      <c r="V7">
        <v>890990</v>
      </c>
      <c r="W7" s="9">
        <v>881138</v>
      </c>
    </row>
    <row r="8" spans="1:24" x14ac:dyDescent="0.3">
      <c r="A8" s="8" t="s">
        <v>29</v>
      </c>
      <c r="C8" s="10">
        <f t="shared" ref="C8:W8" si="0">C7/C11</f>
        <v>0.14690300962265898</v>
      </c>
      <c r="D8" s="10">
        <f t="shared" si="0"/>
        <v>0.14668569467727183</v>
      </c>
      <c r="E8" s="10">
        <f t="shared" si="0"/>
        <v>0.14716112305840612</v>
      </c>
      <c r="F8" s="10">
        <f t="shared" si="0"/>
        <v>0.14700217974415763</v>
      </c>
      <c r="G8" s="10">
        <f t="shared" si="0"/>
        <v>0.14749092409826065</v>
      </c>
      <c r="H8" s="10">
        <f t="shared" si="0"/>
        <v>0.14925579699147637</v>
      </c>
      <c r="I8" s="10">
        <f t="shared" si="0"/>
        <v>0.15241677106850221</v>
      </c>
      <c r="J8" s="10">
        <f t="shared" si="0"/>
        <v>0.15314794726628547</v>
      </c>
      <c r="K8" s="10">
        <f t="shared" si="0"/>
        <v>0.15465402745881532</v>
      </c>
      <c r="L8" s="10">
        <f t="shared" si="0"/>
        <v>0.15761856894047865</v>
      </c>
      <c r="M8" s="10">
        <f t="shared" si="0"/>
        <v>0.15982671667514287</v>
      </c>
      <c r="N8" s="10">
        <f t="shared" si="0"/>
        <v>0.16112414544462914</v>
      </c>
      <c r="O8" s="10">
        <f t="shared" si="0"/>
        <v>0.16313669144649004</v>
      </c>
      <c r="P8" s="10">
        <f t="shared" si="0"/>
        <v>0.16431584015946704</v>
      </c>
      <c r="Q8" s="10">
        <f t="shared" si="0"/>
        <v>0.16579282464262093</v>
      </c>
      <c r="R8" s="10">
        <f t="shared" si="0"/>
        <v>0.16660099570417841</v>
      </c>
      <c r="S8" s="10">
        <f t="shared" si="0"/>
        <v>0.16838627427000064</v>
      </c>
      <c r="T8" s="10">
        <f t="shared" si="0"/>
        <v>0.17378235857313004</v>
      </c>
      <c r="U8" s="10">
        <f t="shared" si="0"/>
        <v>0.17614640832510028</v>
      </c>
      <c r="V8" s="10">
        <f t="shared" si="0"/>
        <v>0.17711758274525394</v>
      </c>
      <c r="W8" s="11">
        <f t="shared" si="0"/>
        <v>0.17843751290988635</v>
      </c>
    </row>
    <row r="9" spans="1:24" ht="15.6" customHeight="1" x14ac:dyDescent="0.3">
      <c r="A9" s="8" t="s">
        <v>30</v>
      </c>
      <c r="C9">
        <v>3282810</v>
      </c>
      <c r="D9">
        <v>3307868</v>
      </c>
      <c r="E9" s="12">
        <v>3343796</v>
      </c>
      <c r="F9">
        <v>3400589</v>
      </c>
      <c r="G9">
        <v>3469911</v>
      </c>
      <c r="H9">
        <v>3494375</v>
      </c>
      <c r="I9">
        <v>3476291</v>
      </c>
      <c r="J9">
        <v>3519456</v>
      </c>
      <c r="K9">
        <v>3534952</v>
      </c>
      <c r="L9">
        <v>3521105</v>
      </c>
      <c r="M9">
        <v>3504422</v>
      </c>
      <c r="N9">
        <v>3521770</v>
      </c>
      <c r="O9">
        <v>3543376</v>
      </c>
      <c r="P9">
        <v>3584978</v>
      </c>
      <c r="Q9">
        <v>3631146</v>
      </c>
      <c r="R9">
        <v>3677621</v>
      </c>
      <c r="S9">
        <v>3719648</v>
      </c>
      <c r="T9">
        <v>3685781</v>
      </c>
      <c r="U9">
        <v>3741208</v>
      </c>
      <c r="V9">
        <v>3781366</v>
      </c>
      <c r="W9" s="9">
        <v>3696753</v>
      </c>
    </row>
    <row r="10" spans="1:24" x14ac:dyDescent="0.3">
      <c r="A10" s="8" t="s">
        <v>31</v>
      </c>
      <c r="C10" s="10">
        <f t="shared" ref="C10:W10" si="1">C9/C11</f>
        <v>0.79372248376256382</v>
      </c>
      <c r="D10" s="10">
        <f t="shared" si="1"/>
        <v>0.79432290995049215</v>
      </c>
      <c r="E10" s="10">
        <f t="shared" si="1"/>
        <v>0.79474769024245084</v>
      </c>
      <c r="F10" s="10">
        <f t="shared" si="1"/>
        <v>0.79489694426750657</v>
      </c>
      <c r="G10" s="10">
        <f t="shared" si="1"/>
        <v>0.79381363111335101</v>
      </c>
      <c r="H10" s="10">
        <f t="shared" si="1"/>
        <v>0.791515564726748</v>
      </c>
      <c r="I10" s="10">
        <f t="shared" si="1"/>
        <v>0.78883787992832066</v>
      </c>
      <c r="J10" s="10">
        <f t="shared" si="1"/>
        <v>0.78765676400729501</v>
      </c>
      <c r="K10" s="10">
        <f t="shared" si="1"/>
        <v>0.78542201397825762</v>
      </c>
      <c r="L10" s="10">
        <f t="shared" si="1"/>
        <v>0.78151970753701228</v>
      </c>
      <c r="M10" s="10">
        <f t="shared" si="1"/>
        <v>0.77861562193876388</v>
      </c>
      <c r="N10" s="10">
        <f t="shared" si="1"/>
        <v>0.77700831819443417</v>
      </c>
      <c r="O10" s="10">
        <f t="shared" si="1"/>
        <v>0.77467486456652868</v>
      </c>
      <c r="P10" s="10">
        <f t="shared" si="1"/>
        <v>0.77304991302326476</v>
      </c>
      <c r="Q10" s="10">
        <f t="shared" si="1"/>
        <v>0.77050013442363241</v>
      </c>
      <c r="R10" s="10">
        <f t="shared" si="1"/>
        <v>0.76874136043617503</v>
      </c>
      <c r="S10" s="10">
        <f t="shared" si="1"/>
        <v>0.76584470576220909</v>
      </c>
      <c r="T10" s="10">
        <f t="shared" si="1"/>
        <v>0.75792205153682657</v>
      </c>
      <c r="U10" s="10">
        <f t="shared" si="1"/>
        <v>0.75355491571067601</v>
      </c>
      <c r="V10" s="10">
        <f t="shared" si="1"/>
        <v>0.75168790378689987</v>
      </c>
      <c r="W10" s="11">
        <f t="shared" si="1"/>
        <v>0.74862213542278411</v>
      </c>
    </row>
    <row r="11" spans="1:24" x14ac:dyDescent="0.3">
      <c r="A11" s="8" t="s">
        <v>32</v>
      </c>
      <c r="C11" s="1">
        <v>4135967</v>
      </c>
      <c r="D11">
        <v>4164387</v>
      </c>
      <c r="E11" s="13" t="s">
        <v>33</v>
      </c>
      <c r="F11" s="13" t="s">
        <v>34</v>
      </c>
      <c r="G11" s="13" t="s">
        <v>35</v>
      </c>
      <c r="H11" s="13" t="s">
        <v>36</v>
      </c>
      <c r="I11" s="13" t="s">
        <v>37</v>
      </c>
      <c r="J11" s="13" t="s">
        <v>38</v>
      </c>
      <c r="K11" s="13" t="s">
        <v>39</v>
      </c>
      <c r="L11" s="13" t="s">
        <v>40</v>
      </c>
      <c r="M11">
        <v>4500837</v>
      </c>
      <c r="N11" s="13" t="s">
        <v>41</v>
      </c>
      <c r="O11" s="13" t="s">
        <v>42</v>
      </c>
      <c r="P11" s="13" t="s">
        <v>43</v>
      </c>
      <c r="Q11" s="13" t="s">
        <v>44</v>
      </c>
      <c r="R11" s="13" t="s">
        <v>45</v>
      </c>
      <c r="S11" s="13" t="s">
        <v>46</v>
      </c>
      <c r="T11">
        <v>4863008</v>
      </c>
      <c r="U11" s="13" t="s">
        <v>47</v>
      </c>
      <c r="V11" s="13" t="s">
        <v>48</v>
      </c>
      <c r="W11" s="14">
        <v>4938076</v>
      </c>
    </row>
    <row r="12" spans="1:24" x14ac:dyDescent="0.3">
      <c r="A12" s="8" t="s">
        <v>49</v>
      </c>
      <c r="C12" s="1">
        <f>C11-C7</f>
        <v>3528381</v>
      </c>
      <c r="D12" s="1">
        <f>D11-D7</f>
        <v>3553531</v>
      </c>
      <c r="E12" s="1">
        <f t="shared" ref="E12:W12" si="2">E11-E7</f>
        <v>3588207</v>
      </c>
      <c r="F12" s="1">
        <f t="shared" si="2"/>
        <v>3649146</v>
      </c>
      <c r="G12" s="1">
        <f t="shared" si="2"/>
        <v>3726480</v>
      </c>
      <c r="H12" s="1">
        <f t="shared" si="2"/>
        <v>3755857</v>
      </c>
      <c r="I12" s="1">
        <f t="shared" si="2"/>
        <v>3735173</v>
      </c>
      <c r="J12" s="1">
        <f t="shared" si="2"/>
        <v>3783956</v>
      </c>
      <c r="K12" s="1">
        <f t="shared" si="2"/>
        <v>3804652</v>
      </c>
      <c r="L12" s="1">
        <f t="shared" si="2"/>
        <v>3795315</v>
      </c>
      <c r="M12" s="1">
        <f t="shared" si="2"/>
        <v>3781483</v>
      </c>
      <c r="N12" s="1">
        <f t="shared" si="2"/>
        <v>3802183</v>
      </c>
      <c r="O12" s="1">
        <f t="shared" si="2"/>
        <v>3827827</v>
      </c>
      <c r="P12" s="1">
        <f t="shared" si="2"/>
        <v>3875441</v>
      </c>
      <c r="Q12" s="1">
        <f t="shared" si="2"/>
        <v>3931379</v>
      </c>
      <c r="R12" s="1">
        <f t="shared" si="2"/>
        <v>3986940</v>
      </c>
      <c r="S12" s="1">
        <f t="shared" si="2"/>
        <v>4039083</v>
      </c>
      <c r="T12" s="1">
        <f t="shared" si="2"/>
        <v>4017903</v>
      </c>
      <c r="U12" s="1">
        <f t="shared" si="2"/>
        <v>4090223</v>
      </c>
      <c r="V12" s="1">
        <f t="shared" si="2"/>
        <v>4139510</v>
      </c>
      <c r="W12" s="15">
        <f t="shared" si="2"/>
        <v>4056938</v>
      </c>
    </row>
    <row r="13" spans="1:24" x14ac:dyDescent="0.3">
      <c r="A13" s="8" t="s">
        <v>50</v>
      </c>
      <c r="B13" t="s">
        <v>51</v>
      </c>
      <c r="C13" s="1">
        <v>340404</v>
      </c>
      <c r="D13" s="1">
        <v>348930</v>
      </c>
      <c r="E13" s="13" t="s">
        <v>52</v>
      </c>
      <c r="F13" s="13" t="s">
        <v>53</v>
      </c>
      <c r="G13" s="13" t="s">
        <v>54</v>
      </c>
      <c r="H13" s="13" t="s">
        <v>55</v>
      </c>
      <c r="I13" s="13" t="s">
        <v>56</v>
      </c>
      <c r="J13" s="13" t="s">
        <v>57</v>
      </c>
      <c r="K13" s="13" t="s">
        <v>58</v>
      </c>
      <c r="L13" s="13" t="s">
        <v>59</v>
      </c>
      <c r="M13" s="1">
        <v>484231</v>
      </c>
      <c r="N13" s="13" t="s">
        <v>60</v>
      </c>
      <c r="O13" s="13" t="s">
        <v>61</v>
      </c>
      <c r="P13" s="13" t="s">
        <v>62</v>
      </c>
      <c r="Q13" s="13" t="s">
        <v>63</v>
      </c>
      <c r="R13" s="13" t="s">
        <v>64</v>
      </c>
      <c r="S13" s="13" t="s">
        <v>65</v>
      </c>
      <c r="T13" s="1">
        <v>597771</v>
      </c>
      <c r="U13" s="13" t="s">
        <v>66</v>
      </c>
      <c r="V13" s="13" t="s">
        <v>67</v>
      </c>
      <c r="W13" s="14">
        <v>682936</v>
      </c>
      <c r="X13" s="1">
        <v>707073</v>
      </c>
    </row>
    <row r="14" spans="1:24" x14ac:dyDescent="0.3">
      <c r="A14" s="8"/>
      <c r="C14" s="1"/>
      <c r="D14" s="1"/>
      <c r="E14" s="13"/>
      <c r="F14" s="13"/>
      <c r="G14" s="13"/>
      <c r="H14" s="13"/>
      <c r="I14" s="13"/>
      <c r="J14" s="13"/>
      <c r="K14" s="13"/>
      <c r="L14" s="13"/>
      <c r="M14" s="1"/>
      <c r="N14" s="13"/>
      <c r="O14" s="13"/>
      <c r="P14" s="13"/>
      <c r="Q14" s="13"/>
      <c r="R14" s="13"/>
      <c r="S14" s="13"/>
      <c r="T14" s="1"/>
      <c r="U14" s="13"/>
      <c r="V14" s="13"/>
      <c r="W14" s="14"/>
      <c r="X14" s="1"/>
    </row>
    <row r="15" spans="1:24" x14ac:dyDescent="0.3">
      <c r="A15" s="8" t="s">
        <v>68</v>
      </c>
      <c r="C15" s="1"/>
      <c r="D15" s="1"/>
      <c r="E15" s="13"/>
      <c r="F15" s="13"/>
      <c r="G15" s="13"/>
      <c r="H15" s="13"/>
      <c r="I15" s="13"/>
      <c r="J15" s="13"/>
      <c r="K15" s="13"/>
      <c r="L15" s="13"/>
      <c r="M15" s="1"/>
      <c r="N15" s="13"/>
      <c r="O15" s="13"/>
      <c r="P15" s="13"/>
      <c r="Q15" s="13"/>
      <c r="R15" s="13"/>
      <c r="S15" s="16" t="s">
        <v>69</v>
      </c>
      <c r="T15" s="17">
        <v>643230</v>
      </c>
      <c r="U15" s="13" t="s">
        <v>70</v>
      </c>
      <c r="V15" s="13" t="s">
        <v>71</v>
      </c>
      <c r="W15" s="14">
        <v>664545</v>
      </c>
      <c r="X15" s="1">
        <v>676914</v>
      </c>
    </row>
    <row r="16" spans="1:24" x14ac:dyDescent="0.3">
      <c r="A16" s="8"/>
      <c r="C16" s="1"/>
      <c r="D16" s="1"/>
      <c r="E16" s="13"/>
      <c r="F16" s="13"/>
      <c r="G16" s="13"/>
      <c r="H16" s="13"/>
      <c r="I16" s="13"/>
      <c r="J16" s="13"/>
      <c r="K16" s="13"/>
      <c r="L16" s="13"/>
      <c r="M16" s="1"/>
      <c r="N16" s="13"/>
      <c r="O16" s="13"/>
      <c r="P16" s="13"/>
      <c r="Q16" s="13"/>
      <c r="R16" s="13"/>
      <c r="S16" s="18">
        <v>100</v>
      </c>
      <c r="T16" s="1">
        <f>(T15/S15)*S16</f>
        <v>100.76683872888061</v>
      </c>
      <c r="U16" s="1">
        <f t="shared" ref="U16:X16" si="3">(U15/T15)*T16</f>
        <v>101.21378273163778</v>
      </c>
      <c r="V16" s="1">
        <f t="shared" si="3"/>
        <v>102.58422301769448</v>
      </c>
      <c r="W16" s="15">
        <f t="shared" si="3"/>
        <v>104.10599450131986</v>
      </c>
      <c r="X16" s="1">
        <f t="shared" si="3"/>
        <v>106.04369179192744</v>
      </c>
    </row>
    <row r="17" spans="1:25" ht="17.399999999999999" x14ac:dyDescent="0.3">
      <c r="A17" s="8"/>
      <c r="C17" s="1"/>
      <c r="E17" s="13"/>
      <c r="F17" s="13"/>
      <c r="G17" s="13"/>
      <c r="H17" s="13"/>
      <c r="I17" s="13"/>
      <c r="J17" s="13"/>
      <c r="K17" s="13"/>
      <c r="L17" s="13"/>
      <c r="N17" s="13"/>
      <c r="O17" s="13"/>
      <c r="P17" s="13"/>
      <c r="Q17" s="13"/>
      <c r="R17" s="13"/>
      <c r="S17" s="13"/>
      <c r="U17" s="13"/>
      <c r="V17" s="13"/>
      <c r="W17" s="19"/>
    </row>
    <row r="18" spans="1:25" x14ac:dyDescent="0.3">
      <c r="A18" s="8"/>
      <c r="W18" s="9"/>
    </row>
    <row r="19" spans="1:25" ht="12.6" customHeight="1" x14ac:dyDescent="0.3">
      <c r="A19" s="8" t="s">
        <v>72</v>
      </c>
      <c r="C19" s="20">
        <v>100</v>
      </c>
      <c r="D19" s="20">
        <f>(D7/C7)*C19</f>
        <v>100.53819541595759</v>
      </c>
      <c r="E19" s="20">
        <f>(E7/D7)*D19</f>
        <v>101.90508010388655</v>
      </c>
      <c r="F19" s="20">
        <f t="shared" ref="F19:W19" si="4">(F7/E7)*E19</f>
        <v>103.50452446238066</v>
      </c>
      <c r="G19" s="20">
        <f t="shared" si="4"/>
        <v>106.11024612153673</v>
      </c>
      <c r="H19" s="20">
        <f t="shared" si="4"/>
        <v>108.45098471656691</v>
      </c>
      <c r="I19" s="20">
        <f t="shared" si="4"/>
        <v>110.54863015276852</v>
      </c>
      <c r="J19" s="20">
        <f t="shared" si="4"/>
        <v>112.62685446998452</v>
      </c>
      <c r="K19" s="20">
        <f t="shared" si="4"/>
        <v>114.5602433235789</v>
      </c>
      <c r="L19" s="20">
        <f t="shared" si="4"/>
        <v>116.87958577057407</v>
      </c>
      <c r="M19" s="20">
        <f t="shared" si="4"/>
        <v>118.39542056597752</v>
      </c>
      <c r="N19" s="20">
        <f t="shared" si="4"/>
        <v>120.19549495873837</v>
      </c>
      <c r="O19" s="20">
        <f t="shared" si="4"/>
        <v>122.81224386342018</v>
      </c>
      <c r="P19" s="20">
        <f t="shared" si="4"/>
        <v>125.41533215051041</v>
      </c>
      <c r="Q19" s="20">
        <f t="shared" si="4"/>
        <v>128.59644560605415</v>
      </c>
      <c r="R19" s="20">
        <f t="shared" si="4"/>
        <v>131.17665647332234</v>
      </c>
      <c r="S19" s="20">
        <f t="shared" si="4"/>
        <v>134.60464856003929</v>
      </c>
      <c r="T19" s="20">
        <f t="shared" si="4"/>
        <v>139.09224373175161</v>
      </c>
      <c r="U19" s="20">
        <f t="shared" si="4"/>
        <v>143.93386286056631</v>
      </c>
      <c r="V19" s="20">
        <f t="shared" si="4"/>
        <v>146.64426105933981</v>
      </c>
      <c r="W19" s="9">
        <f t="shared" si="4"/>
        <v>145.02276220979422</v>
      </c>
    </row>
    <row r="20" spans="1:25" ht="12.6" customHeight="1" x14ac:dyDescent="0.3">
      <c r="A20" s="8" t="s">
        <v>73</v>
      </c>
      <c r="C20" s="20">
        <v>100</v>
      </c>
      <c r="D20" s="20">
        <f>(D9/C9)*C20</f>
        <v>100.7633094818159</v>
      </c>
      <c r="E20" s="20">
        <f t="shared" ref="E20:W20" si="5">(E9/D9)*D20</f>
        <v>101.85773773078553</v>
      </c>
      <c r="F20" s="20">
        <f t="shared" si="5"/>
        <v>103.58774951946656</v>
      </c>
      <c r="G20" s="20">
        <f t="shared" si="5"/>
        <v>105.69941604905554</v>
      </c>
      <c r="H20" s="20">
        <f t="shared" si="5"/>
        <v>106.44463127625419</v>
      </c>
      <c r="I20" s="20">
        <f t="shared" si="5"/>
        <v>105.89376174679619</v>
      </c>
      <c r="J20" s="20">
        <f t="shared" si="5"/>
        <v>107.20864137735659</v>
      </c>
      <c r="K20" s="20">
        <f t="shared" si="5"/>
        <v>107.68067600622636</v>
      </c>
      <c r="L20" s="20">
        <f t="shared" si="5"/>
        <v>107.25887273402968</v>
      </c>
      <c r="M20" s="20">
        <f t="shared" si="5"/>
        <v>106.75068005763355</v>
      </c>
      <c r="N20" s="20">
        <f t="shared" si="5"/>
        <v>107.27912976992272</v>
      </c>
      <c r="O20" s="20">
        <f t="shared" si="5"/>
        <v>107.9372854353435</v>
      </c>
      <c r="P20" s="20">
        <f t="shared" si="5"/>
        <v>109.20455341612825</v>
      </c>
      <c r="Q20" s="20">
        <f t="shared" si="5"/>
        <v>110.61090955614245</v>
      </c>
      <c r="R20" s="20">
        <f t="shared" si="5"/>
        <v>112.02661744054635</v>
      </c>
      <c r="S20" s="20">
        <f t="shared" si="5"/>
        <v>113.30683164727778</v>
      </c>
      <c r="T20" s="20">
        <f t="shared" si="5"/>
        <v>112.27518497872248</v>
      </c>
      <c r="U20" s="20">
        <f t="shared" si="5"/>
        <v>113.9635860741255</v>
      </c>
      <c r="V20" s="20">
        <f t="shared" si="5"/>
        <v>115.18686734839967</v>
      </c>
      <c r="W20" s="9">
        <f t="shared" si="5"/>
        <v>112.60941084010344</v>
      </c>
    </row>
    <row r="21" spans="1:25" ht="12.6" customHeight="1" x14ac:dyDescent="0.3">
      <c r="A21" s="21" t="s">
        <v>74</v>
      </c>
      <c r="B21" s="22"/>
      <c r="C21" s="23">
        <v>100</v>
      </c>
      <c r="D21" s="23">
        <f>(D13/C13)*C21</f>
        <v>102.50467092043571</v>
      </c>
      <c r="E21" s="23">
        <f t="shared" ref="E21:L21" si="6">(E13/D13)*D21</f>
        <v>104.27403908297201</v>
      </c>
      <c r="F21" s="23">
        <f t="shared" si="6"/>
        <v>109.68790025969143</v>
      </c>
      <c r="G21" s="23">
        <f t="shared" si="6"/>
        <v>113.94137554200304</v>
      </c>
      <c r="H21" s="23">
        <f t="shared" si="6"/>
        <v>121.46420136073608</v>
      </c>
      <c r="I21" s="23">
        <f t="shared" si="6"/>
        <v>126.11073900424203</v>
      </c>
      <c r="J21" s="23">
        <f t="shared" si="6"/>
        <v>131.00345471851097</v>
      </c>
      <c r="K21" s="23">
        <f t="shared" si="6"/>
        <v>136.44463637325063</v>
      </c>
      <c r="L21" s="23">
        <f t="shared" si="6"/>
        <v>140.26832822176004</v>
      </c>
      <c r="M21" s="23">
        <f t="shared" ref="M21:X21" si="7">(M13/L13)*L21</f>
        <v>142.25185367974524</v>
      </c>
      <c r="N21" s="23">
        <f t="shared" ref="N21:S21" si="8">(N13/M13)*M21</f>
        <v>142.8655362451675</v>
      </c>
      <c r="O21" s="23">
        <f t="shared" si="8"/>
        <v>147.10226671836995</v>
      </c>
      <c r="P21" s="23">
        <f t="shared" si="8"/>
        <v>151.81196460676139</v>
      </c>
      <c r="Q21" s="23">
        <f t="shared" si="8"/>
        <v>156.84392662835924</v>
      </c>
      <c r="R21" s="23">
        <f t="shared" si="8"/>
        <v>161.91907263134391</v>
      </c>
      <c r="S21" s="23">
        <f t="shared" si="8"/>
        <v>166.20897521768248</v>
      </c>
      <c r="T21" s="23">
        <f t="shared" si="7"/>
        <v>175.60633835090064</v>
      </c>
      <c r="U21" s="23">
        <f>(U13/T13)*T21</f>
        <v>184.20964501004684</v>
      </c>
      <c r="V21" s="23">
        <f>(V13/U13)*U21</f>
        <v>192.45014747182756</v>
      </c>
      <c r="W21" s="24">
        <f t="shared" si="7"/>
        <v>200.62513954007585</v>
      </c>
      <c r="X21">
        <f t="shared" si="7"/>
        <v>207.71583177635981</v>
      </c>
    </row>
    <row r="22" spans="1:25" ht="12.6" customHeight="1" x14ac:dyDescent="0.3"/>
    <row r="23" spans="1:25" ht="12.6" customHeight="1" x14ac:dyDescent="0.3">
      <c r="A23" s="25" t="s">
        <v>75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7"/>
    </row>
    <row r="24" spans="1:25" ht="12.6" customHeight="1" x14ac:dyDescent="0.3">
      <c r="A24" s="8" t="s">
        <v>76</v>
      </c>
      <c r="C24" s="20">
        <v>80.03</v>
      </c>
      <c r="D24">
        <v>81.709999999999994</v>
      </c>
      <c r="E24">
        <v>83.98</v>
      </c>
      <c r="F24">
        <v>85.48</v>
      </c>
      <c r="G24">
        <v>87.04</v>
      </c>
      <c r="H24">
        <v>90.95</v>
      </c>
      <c r="I24">
        <v>90.9</v>
      </c>
      <c r="J24">
        <v>92.89</v>
      </c>
      <c r="K24">
        <v>96.17</v>
      </c>
      <c r="L24">
        <v>98.9</v>
      </c>
      <c r="M24">
        <v>100</v>
      </c>
      <c r="N24">
        <v>100.34</v>
      </c>
      <c r="O24">
        <v>100.9</v>
      </c>
      <c r="P24">
        <v>102.89</v>
      </c>
      <c r="Q24">
        <v>105.08</v>
      </c>
      <c r="R24">
        <v>107.24</v>
      </c>
      <c r="S24">
        <v>108.78</v>
      </c>
      <c r="T24">
        <v>109.59</v>
      </c>
      <c r="U24">
        <v>112.26</v>
      </c>
      <c r="V24">
        <v>123.03</v>
      </c>
      <c r="W24" s="9">
        <v>128.02000000000001</v>
      </c>
    </row>
    <row r="25" spans="1:25" ht="12.6" customHeight="1" x14ac:dyDescent="0.3">
      <c r="A25" s="21" t="s">
        <v>77</v>
      </c>
      <c r="B25" s="22"/>
      <c r="C25" s="22">
        <f>$W24/C24</f>
        <v>1.5996501312007998</v>
      </c>
      <c r="D25" s="22">
        <f>$W24/D24</f>
        <v>1.5667604944315263</v>
      </c>
      <c r="E25" s="22">
        <f t="shared" ref="E25:U25" si="9">$W24/E24</f>
        <v>1.5244105739461777</v>
      </c>
      <c r="F25" s="22">
        <f t="shared" si="9"/>
        <v>1.4976602714085168</v>
      </c>
      <c r="G25" s="22">
        <f t="shared" si="9"/>
        <v>1.4708180147058825</v>
      </c>
      <c r="H25" s="22">
        <f t="shared" si="9"/>
        <v>1.4075865860362837</v>
      </c>
      <c r="I25" s="22">
        <f t="shared" si="9"/>
        <v>1.4083608360836084</v>
      </c>
      <c r="J25" s="22">
        <f t="shared" si="9"/>
        <v>1.3781892561093767</v>
      </c>
      <c r="K25" s="22">
        <f t="shared" si="9"/>
        <v>1.3311843610273475</v>
      </c>
      <c r="L25" s="22">
        <f t="shared" si="9"/>
        <v>1.2944388270980789</v>
      </c>
      <c r="M25" s="22">
        <f t="shared" si="9"/>
        <v>1.2802</v>
      </c>
      <c r="N25" s="22">
        <f t="shared" si="9"/>
        <v>1.2758620689655173</v>
      </c>
      <c r="O25" s="22">
        <f t="shared" si="9"/>
        <v>1.268780971258672</v>
      </c>
      <c r="P25" s="22">
        <f t="shared" si="9"/>
        <v>1.2442414228788028</v>
      </c>
      <c r="Q25" s="22">
        <f t="shared" si="9"/>
        <v>1.2183098591549297</v>
      </c>
      <c r="R25" s="22">
        <f t="shared" si="9"/>
        <v>1.1937709809772474</v>
      </c>
      <c r="S25" s="22">
        <f t="shared" si="9"/>
        <v>1.1768707482993197</v>
      </c>
      <c r="T25" s="22">
        <f t="shared" si="9"/>
        <v>1.1681722784925632</v>
      </c>
      <c r="U25" s="22">
        <f t="shared" si="9"/>
        <v>1.14038838410832</v>
      </c>
      <c r="V25" s="22">
        <f>$W24/V24</f>
        <v>1.0405592132000325</v>
      </c>
      <c r="W25" s="29">
        <f>$W24/W24</f>
        <v>1</v>
      </c>
    </row>
    <row r="26" spans="1:25" x14ac:dyDescent="0.3">
      <c r="A26" s="45" t="s">
        <v>78</v>
      </c>
      <c r="T26" s="2"/>
    </row>
    <row r="27" spans="1:25" x14ac:dyDescent="0.3">
      <c r="A27" s="26" t="s">
        <v>79</v>
      </c>
      <c r="T27" s="2"/>
    </row>
    <row r="28" spans="1:25" x14ac:dyDescent="0.3">
      <c r="A28" s="32" t="s">
        <v>80</v>
      </c>
      <c r="B28" s="32"/>
      <c r="C28" s="32">
        <v>2362746.48025</v>
      </c>
      <c r="D28" s="32">
        <v>2467975.5851400001</v>
      </c>
      <c r="E28" s="32">
        <v>2601500.7740000002</v>
      </c>
      <c r="F28" s="32">
        <v>2737094.7147400002</v>
      </c>
      <c r="G28" s="32">
        <v>2854576.0869999998</v>
      </c>
      <c r="H28" s="32">
        <v>3244981.3161300002</v>
      </c>
      <c r="I28" s="32">
        <v>3415331.3369999998</v>
      </c>
      <c r="J28" s="32">
        <v>3535058.1069999998</v>
      </c>
      <c r="K28" s="32">
        <v>3602228.1985100009</v>
      </c>
      <c r="L28" s="32">
        <v>3746647.8769999999</v>
      </c>
      <c r="M28" s="32">
        <v>3917483.76456</v>
      </c>
      <c r="N28" s="32">
        <v>3941423.68</v>
      </c>
      <c r="O28" s="32">
        <v>4194116.5819999999</v>
      </c>
      <c r="P28" s="32">
        <v>4301696.9350000015</v>
      </c>
      <c r="Q28" s="32">
        <v>4390940.6260000002</v>
      </c>
      <c r="R28" s="32">
        <v>4485777.8210000005</v>
      </c>
      <c r="S28" s="32">
        <v>4567854.7340000002</v>
      </c>
      <c r="T28" s="32">
        <v>4257700.3496300001</v>
      </c>
      <c r="U28" s="32">
        <v>4676583.5878300024</v>
      </c>
      <c r="V28" s="32">
        <v>4843640.8536499999</v>
      </c>
      <c r="W28" s="33">
        <v>5333723.8682099991</v>
      </c>
      <c r="X28" s="32">
        <v>5627778.5003399989</v>
      </c>
      <c r="Y28" s="32">
        <v>5751656.1980000008</v>
      </c>
    </row>
    <row r="29" spans="1:25" x14ac:dyDescent="0.3">
      <c r="A29" s="32"/>
      <c r="B29" s="32"/>
      <c r="C29" s="32">
        <v>100</v>
      </c>
      <c r="D29" s="32">
        <f t="shared" ref="D29:W29" si="10">(D28/C28)*C29</f>
        <v>104.45367735258951</v>
      </c>
      <c r="E29" s="32">
        <f t="shared" si="10"/>
        <v>110.10494759999548</v>
      </c>
      <c r="F29" s="32">
        <f t="shared" si="10"/>
        <v>115.84377492969074</v>
      </c>
      <c r="G29" s="32">
        <f t="shared" si="10"/>
        <v>120.81601267258939</v>
      </c>
      <c r="H29" s="32">
        <f t="shared" si="10"/>
        <v>137.33937784923299</v>
      </c>
      <c r="I29" s="32">
        <f t="shared" si="10"/>
        <v>144.54920853965794</v>
      </c>
      <c r="J29" s="32">
        <f t="shared" si="10"/>
        <v>149.61647965828135</v>
      </c>
      <c r="K29" s="32">
        <f t="shared" si="10"/>
        <v>152.45936153627673</v>
      </c>
      <c r="L29" s="32">
        <f t="shared" si="10"/>
        <v>158.57172609579214</v>
      </c>
      <c r="M29" s="32">
        <f t="shared" si="10"/>
        <v>165.80212042662717</v>
      </c>
      <c r="N29" s="32">
        <f t="shared" si="10"/>
        <v>166.81534447076868</v>
      </c>
      <c r="O29" s="32">
        <f t="shared" si="10"/>
        <v>177.51022452295535</v>
      </c>
      <c r="P29" s="32">
        <f t="shared" si="10"/>
        <v>182.06341522281491</v>
      </c>
      <c r="Q29" s="32">
        <f t="shared" si="10"/>
        <v>185.84053188539295</v>
      </c>
      <c r="R29" s="32">
        <f t="shared" si="10"/>
        <v>189.85438592317215</v>
      </c>
      <c r="S29" s="32">
        <f t="shared" si="10"/>
        <v>193.32817854908754</v>
      </c>
      <c r="T29" s="32">
        <f t="shared" si="10"/>
        <v>180.20132016785388</v>
      </c>
      <c r="U29" s="32">
        <f t="shared" si="10"/>
        <v>197.92997796933247</v>
      </c>
      <c r="V29" s="32">
        <f t="shared" si="10"/>
        <v>205.00044732423007</v>
      </c>
      <c r="W29" s="33">
        <f t="shared" si="10"/>
        <v>225.7425378809852</v>
      </c>
    </row>
    <row r="30" spans="1:25" x14ac:dyDescent="0.3">
      <c r="A30" s="32"/>
      <c r="B30" s="32"/>
      <c r="C30" s="32">
        <f>C28/C7</f>
        <v>3.8887441123561111</v>
      </c>
      <c r="D30" s="32">
        <f t="shared" ref="D30:W30" si="11">D28/D7</f>
        <v>4.0401920995128151</v>
      </c>
      <c r="E30" s="32">
        <f t="shared" si="11"/>
        <v>4.2016547779979687</v>
      </c>
      <c r="F30" s="32">
        <f t="shared" si="11"/>
        <v>4.3523391856621068</v>
      </c>
      <c r="G30" s="32">
        <f t="shared" si="11"/>
        <v>4.4276832363648202</v>
      </c>
      <c r="H30" s="32">
        <f t="shared" si="11"/>
        <v>4.9245997941065331</v>
      </c>
      <c r="I30" s="32">
        <f t="shared" si="11"/>
        <v>5.084774753676613</v>
      </c>
      <c r="J30" s="32">
        <f t="shared" si="11"/>
        <v>5.1659100941831495</v>
      </c>
      <c r="K30" s="32">
        <f t="shared" si="11"/>
        <v>5.1752285727359464</v>
      </c>
      <c r="L30" s="32">
        <f t="shared" si="11"/>
        <v>5.2758987993984316</v>
      </c>
      <c r="M30" s="32">
        <f t="shared" si="11"/>
        <v>5.4458357978964465</v>
      </c>
      <c r="N30" s="32">
        <f t="shared" si="11"/>
        <v>5.397059090143518</v>
      </c>
      <c r="O30" s="32">
        <f t="shared" si="11"/>
        <v>5.6207086425709267</v>
      </c>
      <c r="P30" s="32">
        <f t="shared" si="11"/>
        <v>5.6452271176342466</v>
      </c>
      <c r="Q30" s="32">
        <f t="shared" si="11"/>
        <v>5.6197997604097614</v>
      </c>
      <c r="R30" s="32">
        <f t="shared" si="11"/>
        <v>5.6282508284076389</v>
      </c>
      <c r="S30" s="32">
        <f t="shared" si="11"/>
        <v>5.5852737934972536</v>
      </c>
      <c r="T30" s="32">
        <f t="shared" si="11"/>
        <v>5.0380726059247074</v>
      </c>
      <c r="U30" s="32">
        <f t="shared" si="11"/>
        <v>5.3475882685970193</v>
      </c>
      <c r="V30" s="32">
        <f t="shared" si="11"/>
        <v>5.4362460337938696</v>
      </c>
      <c r="W30" s="33">
        <f t="shared" si="11"/>
        <v>6.0532219336925648</v>
      </c>
    </row>
    <row r="31" spans="1:25" x14ac:dyDescent="0.3">
      <c r="A31" s="32" t="s">
        <v>81</v>
      </c>
      <c r="B31" s="32"/>
      <c r="C31" s="34">
        <v>100</v>
      </c>
      <c r="D31" s="34">
        <f t="shared" ref="D31:W31" si="12">(D30/C30)*C31</f>
        <v>103.89452179883713</v>
      </c>
      <c r="E31" s="34">
        <f t="shared" si="12"/>
        <v>108.0465738192342</v>
      </c>
      <c r="F31" s="34">
        <f t="shared" si="12"/>
        <v>111.92145998583368</v>
      </c>
      <c r="G31" s="34">
        <f t="shared" si="12"/>
        <v>113.85895056186091</v>
      </c>
      <c r="H31" s="34">
        <f t="shared" si="12"/>
        <v>126.63728061867303</v>
      </c>
      <c r="I31" s="34">
        <f t="shared" si="12"/>
        <v>130.7562186341917</v>
      </c>
      <c r="J31" s="34">
        <f t="shared" si="12"/>
        <v>132.84263363508458</v>
      </c>
      <c r="K31" s="34">
        <f t="shared" si="12"/>
        <v>133.08226057590559</v>
      </c>
      <c r="L31" s="34">
        <f t="shared" si="12"/>
        <v>135.67101992221009</v>
      </c>
      <c r="M31" s="34">
        <f t="shared" si="12"/>
        <v>140.04099114140286</v>
      </c>
      <c r="N31" s="34">
        <f t="shared" si="12"/>
        <v>138.78668624646403</v>
      </c>
      <c r="O31" s="34">
        <f t="shared" si="12"/>
        <v>144.53788884467005</v>
      </c>
      <c r="P31" s="34">
        <f t="shared" si="12"/>
        <v>145.16838739008514</v>
      </c>
      <c r="Q31" s="34">
        <f t="shared" si="12"/>
        <v>144.51451671899386</v>
      </c>
      <c r="R31" s="34">
        <f t="shared" si="12"/>
        <v>144.73183798657291</v>
      </c>
      <c r="S31" s="34">
        <f t="shared" si="12"/>
        <v>143.62667308837788</v>
      </c>
      <c r="T31" s="34">
        <f t="shared" si="12"/>
        <v>129.55526155389643</v>
      </c>
      <c r="U31" s="34">
        <f t="shared" si="12"/>
        <v>137.5145320466207</v>
      </c>
      <c r="V31" s="34">
        <f t="shared" si="12"/>
        <v>139.79438802673388</v>
      </c>
      <c r="W31" s="33">
        <f t="shared" si="12"/>
        <v>155.66007324727369</v>
      </c>
    </row>
    <row r="32" spans="1:25" x14ac:dyDescent="0.3">
      <c r="A32" s="5" t="s">
        <v>82</v>
      </c>
      <c r="B32" s="6"/>
      <c r="C32" s="6">
        <f>C28*C25</f>
        <v>3779567.7171261404</v>
      </c>
      <c r="D32" s="6">
        <f t="shared" ref="D32:W32" si="13">D28*D25</f>
        <v>3866726.6480188821</v>
      </c>
      <c r="E32" s="6">
        <f t="shared" si="13"/>
        <v>3965755.2880147658</v>
      </c>
      <c r="F32" s="6">
        <f t="shared" si="13"/>
        <v>4099238.0133483256</v>
      </c>
      <c r="G32" s="6">
        <f t="shared" si="13"/>
        <v>4198561.9331082264</v>
      </c>
      <c r="H32" s="6">
        <f t="shared" si="13"/>
        <v>4567592.1725229537</v>
      </c>
      <c r="I32" s="6">
        <f t="shared" si="13"/>
        <v>4810018.8972798679</v>
      </c>
      <c r="J32" s="6">
        <f t="shared" si="13"/>
        <v>4871979.1027897513</v>
      </c>
      <c r="K32" s="6">
        <f t="shared" si="13"/>
        <v>4795229.8427082291</v>
      </c>
      <c r="L32" s="6">
        <f t="shared" si="13"/>
        <v>4849806.4834533874</v>
      </c>
      <c r="M32" s="6">
        <f t="shared" si="13"/>
        <v>5015162.7153897118</v>
      </c>
      <c r="N32" s="6">
        <f t="shared" si="13"/>
        <v>5028712.9710344831</v>
      </c>
      <c r="O32" s="6">
        <f t="shared" si="13"/>
        <v>5321415.3104820615</v>
      </c>
      <c r="P32" s="6">
        <f t="shared" si="13"/>
        <v>5352349.5151977865</v>
      </c>
      <c r="Q32" s="6">
        <f t="shared" si="13"/>
        <v>5349526.2556197196</v>
      </c>
      <c r="R32" s="6">
        <f t="shared" si="13"/>
        <v>5354991.3898211503</v>
      </c>
      <c r="S32" s="6">
        <f t="shared" si="13"/>
        <v>5375774.61892517</v>
      </c>
      <c r="T32" s="6">
        <f t="shared" si="13"/>
        <v>4973727.5185658606</v>
      </c>
      <c r="U32" s="6">
        <f t="shared" si="13"/>
        <v>5333121.600872946</v>
      </c>
      <c r="V32" s="6">
        <f t="shared" si="13"/>
        <v>5040095.1156975776</v>
      </c>
      <c r="W32" s="27">
        <f t="shared" si="13"/>
        <v>5333723.8682099991</v>
      </c>
    </row>
    <row r="33" spans="1:25" x14ac:dyDescent="0.3">
      <c r="A33" s="8"/>
      <c r="C33">
        <v>100</v>
      </c>
      <c r="D33">
        <f t="shared" ref="D33:W33" si="14">(D32/C32)*C33</f>
        <v>102.30605554433656</v>
      </c>
      <c r="E33">
        <f t="shared" si="14"/>
        <v>104.92616047186996</v>
      </c>
      <c r="F33">
        <f t="shared" si="14"/>
        <v>108.45785338819786</v>
      </c>
      <c r="G33">
        <f t="shared" si="14"/>
        <v>111.0857708431449</v>
      </c>
      <c r="H33">
        <f t="shared" si="14"/>
        <v>120.8495921855318</v>
      </c>
      <c r="I33">
        <f t="shared" si="14"/>
        <v>127.26373112682978</v>
      </c>
      <c r="J33">
        <f t="shared" si="14"/>
        <v>128.90307747930089</v>
      </c>
      <c r="K33">
        <f t="shared" si="14"/>
        <v>126.87244154880142</v>
      </c>
      <c r="L33">
        <f t="shared" si="14"/>
        <v>128.31643315921386</v>
      </c>
      <c r="M33">
        <f t="shared" si="14"/>
        <v>132.69143697742976</v>
      </c>
      <c r="N33">
        <f t="shared" si="14"/>
        <v>133.04995034877041</v>
      </c>
      <c r="O33">
        <f t="shared" si="14"/>
        <v>140.79428412856413</v>
      </c>
      <c r="P33">
        <f t="shared" si="14"/>
        <v>141.61274293208166</v>
      </c>
      <c r="Q33">
        <f t="shared" si="14"/>
        <v>141.53804498275602</v>
      </c>
      <c r="R33">
        <f t="shared" si="14"/>
        <v>141.6826417888052</v>
      </c>
      <c r="S33">
        <f t="shared" si="14"/>
        <v>142.23252554958148</v>
      </c>
      <c r="T33">
        <f t="shared" si="14"/>
        <v>131.5951423764335</v>
      </c>
      <c r="U33">
        <f t="shared" si="14"/>
        <v>141.10400977093957</v>
      </c>
      <c r="V33">
        <f t="shared" si="14"/>
        <v>133.35109972655556</v>
      </c>
      <c r="W33" s="28">
        <f t="shared" si="14"/>
        <v>141.11994459158916</v>
      </c>
    </row>
    <row r="34" spans="1:25" x14ac:dyDescent="0.3">
      <c r="A34" s="8"/>
      <c r="C34">
        <f>C32/C7</f>
        <v>6.2206300295367907</v>
      </c>
      <c r="D34">
        <f>D32/D7</f>
        <v>6.3300133714310443</v>
      </c>
      <c r="E34">
        <f t="shared" ref="E34:W34" si="15">E32/E7</f>
        <v>6.4050469716515828</v>
      </c>
      <c r="F34">
        <f t="shared" si="15"/>
        <v>6.5183254860606343</v>
      </c>
      <c r="G34">
        <f t="shared" si="15"/>
        <v>6.5123162674566224</v>
      </c>
      <c r="H34">
        <f t="shared" si="15"/>
        <v>6.9318006117814006</v>
      </c>
      <c r="I34">
        <f t="shared" si="15"/>
        <v>7.161197623384818</v>
      </c>
      <c r="J34">
        <f t="shared" si="15"/>
        <v>7.1196017898301944</v>
      </c>
      <c r="K34">
        <f t="shared" si="15"/>
        <v>6.889183340767973</v>
      </c>
      <c r="L34">
        <f t="shared" si="15"/>
        <v>6.829328253781469</v>
      </c>
      <c r="M34">
        <f t="shared" si="15"/>
        <v>6.9717589884670295</v>
      </c>
      <c r="N34">
        <f t="shared" si="15"/>
        <v>6.8859029770796614</v>
      </c>
      <c r="O34">
        <f t="shared" si="15"/>
        <v>7.1314481706831527</v>
      </c>
      <c r="P34">
        <f t="shared" si="15"/>
        <v>7.0240254213192372</v>
      </c>
      <c r="Q34">
        <f t="shared" si="15"/>
        <v>6.846657454583724</v>
      </c>
      <c r="R34">
        <f t="shared" si="15"/>
        <v>6.7188425126141924</v>
      </c>
      <c r="S34">
        <f t="shared" si="15"/>
        <v>6.5731453488096925</v>
      </c>
      <c r="T34">
        <f t="shared" si="15"/>
        <v>5.8853367552740314</v>
      </c>
      <c r="U34">
        <f t="shared" si="15"/>
        <v>6.0983275445019629</v>
      </c>
      <c r="V34">
        <f t="shared" si="15"/>
        <v>5.6567358956863458</v>
      </c>
      <c r="W34" s="28">
        <f t="shared" si="15"/>
        <v>6.0532219336925648</v>
      </c>
    </row>
    <row r="35" spans="1:25" x14ac:dyDescent="0.3">
      <c r="A35" s="21" t="s">
        <v>83</v>
      </c>
      <c r="B35" s="22"/>
      <c r="C35" s="30">
        <v>100</v>
      </c>
      <c r="D35" s="30">
        <f>(D34/C34)*C35</f>
        <v>101.75839651891978</v>
      </c>
      <c r="E35" s="30">
        <f>(E34/D34)*D35</f>
        <v>102.96460231904396</v>
      </c>
      <c r="F35" s="30">
        <f t="shared" ref="F35:W35" si="16">(F34/E34)*E35</f>
        <v>104.785615847757</v>
      </c>
      <c r="G35" s="30">
        <f t="shared" si="16"/>
        <v>104.68901440103089</v>
      </c>
      <c r="H35" s="30">
        <f t="shared" si="16"/>
        <v>111.43245264334692</v>
      </c>
      <c r="I35" s="30">
        <f t="shared" si="16"/>
        <v>115.12013396363434</v>
      </c>
      <c r="J35" s="30">
        <f t="shared" si="16"/>
        <v>114.45145838966324</v>
      </c>
      <c r="K35" s="30">
        <f t="shared" si="16"/>
        <v>110.74735690849255</v>
      </c>
      <c r="L35" s="30">
        <f t="shared" si="16"/>
        <v>109.78515393705236</v>
      </c>
      <c r="M35" s="30">
        <f t="shared" si="16"/>
        <v>112.07480521046472</v>
      </c>
      <c r="N35" s="30">
        <f t="shared" si="16"/>
        <v>110.69462328388001</v>
      </c>
      <c r="O35" s="30">
        <f t="shared" si="16"/>
        <v>114.64189538393408</v>
      </c>
      <c r="P35" s="30">
        <f t="shared" si="16"/>
        <v>112.91501645279928</v>
      </c>
      <c r="Q35" s="30">
        <f t="shared" si="16"/>
        <v>110.063730234308</v>
      </c>
      <c r="R35" s="30">
        <f t="shared" si="16"/>
        <v>108.0090357521954</v>
      </c>
      <c r="S35" s="30">
        <f t="shared" si="16"/>
        <v>105.66687485992725</v>
      </c>
      <c r="T35" s="30">
        <f t="shared" si="16"/>
        <v>94.609978849879894</v>
      </c>
      <c r="U35" s="30">
        <f t="shared" si="16"/>
        <v>98.033921251479242</v>
      </c>
      <c r="V35" s="30">
        <f t="shared" si="16"/>
        <v>90.935096104848569</v>
      </c>
      <c r="W35" s="31">
        <f t="shared" si="16"/>
        <v>97.308824105446988</v>
      </c>
    </row>
    <row r="37" spans="1:25" x14ac:dyDescent="0.3">
      <c r="A37" s="26" t="s">
        <v>84</v>
      </c>
    </row>
    <row r="38" spans="1:25" ht="15.6" customHeight="1" x14ac:dyDescent="0.3">
      <c r="A38" s="40" t="s">
        <v>85</v>
      </c>
      <c r="B38" s="40"/>
      <c r="C38" s="32">
        <v>3664626.77605</v>
      </c>
      <c r="D38" s="32">
        <v>3920038.393660001</v>
      </c>
      <c r="E38" s="32">
        <v>4073959.2503599999</v>
      </c>
      <c r="F38" s="32">
        <v>4327686.0560799995</v>
      </c>
      <c r="G38" s="32">
        <v>4522043.5297600003</v>
      </c>
      <c r="H38" s="32">
        <v>5204101.9294211064</v>
      </c>
      <c r="I38" s="32">
        <v>5551179.3286812399</v>
      </c>
      <c r="J38" s="32">
        <v>5857141.8666507415</v>
      </c>
      <c r="K38" s="32">
        <v>6175800.9191399999</v>
      </c>
      <c r="L38" s="32">
        <v>6246251.4651899999</v>
      </c>
      <c r="M38" s="32">
        <v>6496362.7397800004</v>
      </c>
      <c r="N38" s="32">
        <v>6775370.6100000003</v>
      </c>
      <c r="O38" s="32">
        <v>6064990.466</v>
      </c>
      <c r="P38" s="32">
        <v>6139008.7140506227</v>
      </c>
      <c r="Q38" s="32">
        <v>6679802.9480000008</v>
      </c>
      <c r="R38" s="32">
        <v>6936231.2149999999</v>
      </c>
      <c r="S38" s="32">
        <v>7194559.6290000007</v>
      </c>
      <c r="T38" s="32">
        <v>10831756.277240001</v>
      </c>
      <c r="U38" s="32">
        <v>9855311.198663421</v>
      </c>
      <c r="V38" s="32">
        <v>9500092.4459131602</v>
      </c>
      <c r="W38" s="33">
        <v>9331502.0074200016</v>
      </c>
      <c r="X38" s="32">
        <v>10364347.803117545</v>
      </c>
      <c r="Y38" s="32">
        <v>10962656.680808512</v>
      </c>
    </row>
    <row r="39" spans="1:25" x14ac:dyDescent="0.3">
      <c r="A39" s="32"/>
      <c r="B39" s="32"/>
      <c r="C39" s="32">
        <v>100</v>
      </c>
      <c r="D39" s="32">
        <f>(D38/C38)*C39</f>
        <v>106.9696488406195</v>
      </c>
      <c r="E39" s="32">
        <f t="shared" ref="E39:W39" si="17">(E38/D38)*D39</f>
        <v>111.16982708812731</v>
      </c>
      <c r="F39" s="32">
        <f t="shared" si="17"/>
        <v>118.09350093612241</v>
      </c>
      <c r="G39" s="32">
        <f t="shared" si="17"/>
        <v>123.39710988615835</v>
      </c>
      <c r="H39" s="32">
        <f t="shared" si="17"/>
        <v>142.0090570595695</v>
      </c>
      <c r="I39" s="32">
        <f t="shared" si="17"/>
        <v>151.48007335864918</v>
      </c>
      <c r="J39" s="32">
        <f t="shared" si="17"/>
        <v>159.82915108653964</v>
      </c>
      <c r="K39" s="32">
        <f t="shared" si="17"/>
        <v>168.52469014038925</v>
      </c>
      <c r="L39" s="32">
        <f t="shared" si="17"/>
        <v>170.44713819186413</v>
      </c>
      <c r="M39" s="32">
        <f t="shared" si="17"/>
        <v>177.27215175735438</v>
      </c>
      <c r="N39" s="32">
        <f t="shared" si="17"/>
        <v>184.88569297916291</v>
      </c>
      <c r="O39" s="32">
        <f t="shared" si="17"/>
        <v>165.50090463884248</v>
      </c>
      <c r="P39" s="32">
        <f t="shared" si="17"/>
        <v>167.52070781591812</v>
      </c>
      <c r="Q39" s="32">
        <f t="shared" si="17"/>
        <v>182.27785136689891</v>
      </c>
      <c r="R39" s="32">
        <f t="shared" si="17"/>
        <v>189.27524244300727</v>
      </c>
      <c r="S39" s="32">
        <f t="shared" si="17"/>
        <v>196.32448455650965</v>
      </c>
      <c r="T39" s="32">
        <f t="shared" si="17"/>
        <v>295.57597373982105</v>
      </c>
      <c r="U39" s="32">
        <f t="shared" si="17"/>
        <v>268.9308298207161</v>
      </c>
      <c r="V39" s="32">
        <f t="shared" si="17"/>
        <v>259.23765301286824</v>
      </c>
      <c r="W39" s="33">
        <f t="shared" si="17"/>
        <v>254.63717256026189</v>
      </c>
      <c r="X39" s="32"/>
      <c r="Y39" s="32"/>
    </row>
    <row r="40" spans="1:25" x14ac:dyDescent="0.3">
      <c r="A40" s="40"/>
      <c r="B40" s="40"/>
      <c r="C40" s="32">
        <f t="shared" ref="C40:W40" si="18">C38/C7</f>
        <v>6.0314536148792106</v>
      </c>
      <c r="D40" s="32">
        <f t="shared" si="18"/>
        <v>6.4172872062482824</v>
      </c>
      <c r="E40" s="32">
        <f t="shared" si="18"/>
        <v>6.5798059799632078</v>
      </c>
      <c r="F40" s="32">
        <f t="shared" si="18"/>
        <v>6.8815878031863038</v>
      </c>
      <c r="G40" s="32">
        <f t="shared" si="18"/>
        <v>7.0140629363544287</v>
      </c>
      <c r="H40" s="32">
        <f t="shared" si="18"/>
        <v>7.89777098646009</v>
      </c>
      <c r="I40" s="32">
        <f t="shared" si="18"/>
        <v>8.2646436665801772</v>
      </c>
      <c r="J40" s="32">
        <f t="shared" si="18"/>
        <v>8.5592562770266785</v>
      </c>
      <c r="K40" s="32">
        <f t="shared" si="18"/>
        <v>8.8726142862027544</v>
      </c>
      <c r="L40" s="32">
        <f t="shared" si="18"/>
        <v>8.7957533474760048</v>
      </c>
      <c r="M40" s="32">
        <f t="shared" si="18"/>
        <v>9.0308286876558697</v>
      </c>
      <c r="N40" s="32">
        <f t="shared" si="18"/>
        <v>9.2776312593199162</v>
      </c>
      <c r="O40" s="32">
        <f t="shared" si="18"/>
        <v>8.127943909728085</v>
      </c>
      <c r="P40" s="32">
        <f t="shared" si="18"/>
        <v>8.0563784459054428</v>
      </c>
      <c r="Q40" s="32">
        <f t="shared" si="18"/>
        <v>8.5492285603851883</v>
      </c>
      <c r="R40" s="32">
        <f t="shared" si="18"/>
        <v>8.7028048734584598</v>
      </c>
      <c r="S40" s="32">
        <f t="shared" si="18"/>
        <v>8.797036616008775</v>
      </c>
      <c r="T40" s="32">
        <f t="shared" si="18"/>
        <v>12.817053830281445</v>
      </c>
      <c r="U40" s="32">
        <f t="shared" si="18"/>
        <v>11.269369093817447</v>
      </c>
      <c r="V40" s="32">
        <f t="shared" si="18"/>
        <v>10.66240075187506</v>
      </c>
      <c r="W40" s="33">
        <f t="shared" si="18"/>
        <v>10.590284390662985</v>
      </c>
      <c r="X40" s="32"/>
      <c r="Y40" s="32"/>
    </row>
    <row r="41" spans="1:25" x14ac:dyDescent="0.3">
      <c r="A41" s="32" t="s">
        <v>86</v>
      </c>
      <c r="B41" s="32"/>
      <c r="C41" s="34">
        <v>100</v>
      </c>
      <c r="D41" s="34">
        <f>(D40/C40)*C41</f>
        <v>106.39702492973244</v>
      </c>
      <c r="E41" s="34">
        <f t="shared" ref="E41:V41" si="19">(E40/D40)*D41</f>
        <v>109.09154575492792</v>
      </c>
      <c r="F41" s="34">
        <f t="shared" si="19"/>
        <v>114.09501328518661</v>
      </c>
      <c r="G41" s="34">
        <f t="shared" si="19"/>
        <v>116.29141802651327</v>
      </c>
      <c r="H41" s="34">
        <f t="shared" si="19"/>
        <v>130.94307758542308</v>
      </c>
      <c r="I41" s="34">
        <f t="shared" si="19"/>
        <v>137.02573532509359</v>
      </c>
      <c r="J41" s="34">
        <f t="shared" si="19"/>
        <v>141.91033909158381</v>
      </c>
      <c r="K41" s="34">
        <f t="shared" si="19"/>
        <v>147.10573690419471</v>
      </c>
      <c r="L41" s="34">
        <f t="shared" si="19"/>
        <v>145.83140166704496</v>
      </c>
      <c r="M41" s="34">
        <f t="shared" si="19"/>
        <v>149.72889230843776</v>
      </c>
      <c r="N41" s="34">
        <f t="shared" si="19"/>
        <v>153.82081752950222</v>
      </c>
      <c r="O41" s="34">
        <f t="shared" si="19"/>
        <v>134.7592873743896</v>
      </c>
      <c r="P41" s="34">
        <f t="shared" si="19"/>
        <v>133.57274979336444</v>
      </c>
      <c r="Q41" s="34">
        <f t="shared" si="19"/>
        <v>141.74408204507762</v>
      </c>
      <c r="R41" s="34">
        <f t="shared" si="19"/>
        <v>144.29033909817684</v>
      </c>
      <c r="S41" s="34">
        <f t="shared" si="19"/>
        <v>145.85267793997528</v>
      </c>
      <c r="T41" s="34">
        <f t="shared" si="19"/>
        <v>212.5035629663567</v>
      </c>
      <c r="U41" s="34">
        <f t="shared" si="19"/>
        <v>186.84333517904591</v>
      </c>
      <c r="V41" s="34">
        <f t="shared" si="19"/>
        <v>176.77995111446427</v>
      </c>
      <c r="W41" s="33">
        <f>(W40/V40)*V41</f>
        <v>175.58427979181383</v>
      </c>
      <c r="X41" s="32"/>
      <c r="Y41" s="32"/>
    </row>
    <row r="42" spans="1:25" x14ac:dyDescent="0.3">
      <c r="A42" s="5" t="s">
        <v>87</v>
      </c>
      <c r="B42" s="6"/>
      <c r="C42" s="35">
        <f>C38*C25</f>
        <v>5862120.7031103466</v>
      </c>
      <c r="D42" s="35">
        <f>D38*D25</f>
        <v>6141761.2918413095</v>
      </c>
      <c r="E42" s="35">
        <f t="shared" ref="E42:W42" si="20">E38*E25</f>
        <v>6210386.5590746272</v>
      </c>
      <c r="F42" s="35">
        <f t="shared" si="20"/>
        <v>6481403.4733196255</v>
      </c>
      <c r="G42" s="35">
        <f t="shared" si="20"/>
        <v>6651103.0868551852</v>
      </c>
      <c r="H42" s="35">
        <f t="shared" si="20"/>
        <v>7325224.0682186922</v>
      </c>
      <c r="I42" s="35">
        <f t="shared" si="20"/>
        <v>7818063.5605915552</v>
      </c>
      <c r="J42" s="35">
        <f t="shared" si="20"/>
        <v>8072249.9921264714</v>
      </c>
      <c r="K42" s="35">
        <f t="shared" si="20"/>
        <v>8221129.6003774861</v>
      </c>
      <c r="L42" s="35">
        <f t="shared" si="20"/>
        <v>8085390.4203602001</v>
      </c>
      <c r="M42" s="35">
        <f t="shared" si="20"/>
        <v>8316643.5794663569</v>
      </c>
      <c r="N42" s="35">
        <f t="shared" si="20"/>
        <v>8644438.3644827604</v>
      </c>
      <c r="O42" s="35">
        <f t="shared" si="20"/>
        <v>7695144.4941260656</v>
      </c>
      <c r="P42" s="35">
        <f t="shared" si="20"/>
        <v>7638408.9374357164</v>
      </c>
      <c r="Q42" s="35">
        <f t="shared" si="20"/>
        <v>8138069.7887605652</v>
      </c>
      <c r="R42" s="35">
        <f t="shared" si="20"/>
        <v>8280271.5418155547</v>
      </c>
      <c r="S42" s="35">
        <f t="shared" si="20"/>
        <v>8467066.7742653061</v>
      </c>
      <c r="T42" s="35">
        <f t="shared" si="20"/>
        <v>12653357.410459576</v>
      </c>
      <c r="U42" s="35">
        <f t="shared" si="20"/>
        <v>11238882.412728408</v>
      </c>
      <c r="V42" s="35">
        <f t="shared" si="20"/>
        <v>9885408.7208469715</v>
      </c>
      <c r="W42" s="36">
        <f t="shared" si="20"/>
        <v>9331502.0074200016</v>
      </c>
    </row>
    <row r="43" spans="1:25" x14ac:dyDescent="0.3">
      <c r="A43" s="8"/>
      <c r="C43" s="20">
        <v>100</v>
      </c>
      <c r="D43" s="20">
        <f>(D42/C42)*C43</f>
        <v>104.77029735301409</v>
      </c>
      <c r="E43" s="20">
        <f t="shared" ref="E43:W43" si="21">(E42/D42)*D43</f>
        <v>105.94095334440141</v>
      </c>
      <c r="F43" s="20">
        <f t="shared" si="21"/>
        <v>110.56414225453764</v>
      </c>
      <c r="G43" s="20">
        <f t="shared" si="21"/>
        <v>113.45899246540964</v>
      </c>
      <c r="H43" s="20">
        <f t="shared" si="21"/>
        <v>124.95860183042714</v>
      </c>
      <c r="I43" s="20">
        <f t="shared" si="21"/>
        <v>133.36578955877553</v>
      </c>
      <c r="J43" s="20">
        <f t="shared" si="21"/>
        <v>137.70187276839027</v>
      </c>
      <c r="K43" s="20">
        <f t="shared" si="21"/>
        <v>140.24156131782635</v>
      </c>
      <c r="L43" s="20">
        <f t="shared" si="21"/>
        <v>137.92603103634877</v>
      </c>
      <c r="M43" s="20">
        <f t="shared" si="21"/>
        <v>141.87090305141078</v>
      </c>
      <c r="N43" s="20">
        <f t="shared" si="21"/>
        <v>147.46264709111438</v>
      </c>
      <c r="O43" s="20">
        <f t="shared" si="21"/>
        <v>131.26895340184907</v>
      </c>
      <c r="P43" s="20">
        <f t="shared" si="21"/>
        <v>130.30112009435257</v>
      </c>
      <c r="Q43" s="20">
        <f t="shared" si="21"/>
        <v>138.82467115429131</v>
      </c>
      <c r="R43" s="20">
        <f t="shared" si="21"/>
        <v>141.2504443557803</v>
      </c>
      <c r="S43" s="20">
        <f t="shared" si="21"/>
        <v>144.4369231389729</v>
      </c>
      <c r="T43" s="20">
        <f t="shared" si="21"/>
        <v>215.84948606987763</v>
      </c>
      <c r="U43" s="20">
        <f t="shared" si="21"/>
        <v>191.72041965572703</v>
      </c>
      <c r="V43" s="20">
        <f t="shared" si="21"/>
        <v>168.63195456896574</v>
      </c>
      <c r="W43" s="37">
        <f t="shared" si="21"/>
        <v>159.18304108731266</v>
      </c>
    </row>
    <row r="44" spans="1:25" x14ac:dyDescent="0.3">
      <c r="A44" s="8"/>
      <c r="C44" s="20">
        <f>C42/C7</f>
        <v>9.648215566373068</v>
      </c>
      <c r="D44" s="20">
        <f t="shared" ref="D44:W44" si="22">D42/D7</f>
        <v>10.054352076170668</v>
      </c>
      <c r="E44" s="20">
        <f t="shared" si="22"/>
        <v>10.030325810370206</v>
      </c>
      <c r="F44" s="20">
        <f t="shared" si="22"/>
        <v>10.306280657041539</v>
      </c>
      <c r="G44" s="20">
        <f t="shared" si="22"/>
        <v>10.316410123070934</v>
      </c>
      <c r="H44" s="20">
        <f t="shared" si="22"/>
        <v>11.116796500127771</v>
      </c>
      <c r="I44" s="20">
        <f t="shared" si="22"/>
        <v>11.639600464197956</v>
      </c>
      <c r="J44" s="20">
        <f t="shared" si="22"/>
        <v>11.796275041284911</v>
      </c>
      <c r="K44" s="20">
        <f t="shared" si="22"/>
        <v>11.811085379220929</v>
      </c>
      <c r="L44" s="20">
        <f t="shared" si="22"/>
        <v>11.38556464655084</v>
      </c>
      <c r="M44" s="20">
        <f t="shared" si="22"/>
        <v>11.561266885937044</v>
      </c>
      <c r="N44" s="20">
        <f t="shared" si="22"/>
        <v>11.836977813615066</v>
      </c>
      <c r="O44" s="20">
        <f t="shared" si="22"/>
        <v>10.312580568120808</v>
      </c>
      <c r="P44" s="20">
        <f t="shared" si="22"/>
        <v>10.024079780783506</v>
      </c>
      <c r="Q44" s="20">
        <f t="shared" si="22"/>
        <v>10.415609443286181</v>
      </c>
      <c r="R44" s="20">
        <f t="shared" si="22"/>
        <v>10.389155911042074</v>
      </c>
      <c r="S44" s="20">
        <f t="shared" si="22"/>
        <v>10.352975065098761</v>
      </c>
      <c r="T44" s="20">
        <f t="shared" si="22"/>
        <v>14.97252697648171</v>
      </c>
      <c r="U44" s="20">
        <f t="shared" si="22"/>
        <v>12.85145761081872</v>
      </c>
      <c r="V44" s="20">
        <f t="shared" si="22"/>
        <v>11.094859337194549</v>
      </c>
      <c r="W44" s="37">
        <f t="shared" si="22"/>
        <v>10.590284390662985</v>
      </c>
    </row>
    <row r="45" spans="1:25" x14ac:dyDescent="0.3">
      <c r="A45" s="21" t="s">
        <v>88</v>
      </c>
      <c r="B45" s="22"/>
      <c r="C45" s="38">
        <v>100</v>
      </c>
      <c r="D45" s="38">
        <f>(D44/C44)*C45</f>
        <v>104.20944688687416</v>
      </c>
      <c r="E45" s="38">
        <f t="shared" ref="E45:W45" si="23">(E44/D44)*D45</f>
        <v>103.96042399103216</v>
      </c>
      <c r="F45" s="38">
        <f t="shared" si="23"/>
        <v>106.82058859632059</v>
      </c>
      <c r="G45" s="38">
        <f t="shared" si="23"/>
        <v>106.92557657010406</v>
      </c>
      <c r="H45" s="38">
        <f t="shared" si="23"/>
        <v>115.22126991931179</v>
      </c>
      <c r="I45" s="38">
        <f t="shared" si="23"/>
        <v>120.63992957169678</v>
      </c>
      <c r="J45" s="38">
        <f t="shared" si="23"/>
        <v>122.26380059747498</v>
      </c>
      <c r="K45" s="38">
        <f t="shared" si="23"/>
        <v>122.41730398713428</v>
      </c>
      <c r="L45" s="38">
        <f t="shared" si="23"/>
        <v>118.00694717303949</v>
      </c>
      <c r="M45" s="38">
        <f t="shared" si="23"/>
        <v>119.82803251444273</v>
      </c>
      <c r="N45" s="38">
        <f t="shared" si="23"/>
        <v>122.68566899428006</v>
      </c>
      <c r="O45" s="38">
        <f t="shared" si="23"/>
        <v>106.88588472321506</v>
      </c>
      <c r="P45" s="38">
        <f t="shared" si="23"/>
        <v>103.89568632484165</v>
      </c>
      <c r="Q45" s="38">
        <f t="shared" si="23"/>
        <v>107.9537389233685</v>
      </c>
      <c r="R45" s="38">
        <f t="shared" si="23"/>
        <v>107.67955835534404</v>
      </c>
      <c r="S45" s="38">
        <f t="shared" si="23"/>
        <v>107.30455796595167</v>
      </c>
      <c r="T45" s="38">
        <f t="shared" si="23"/>
        <v>155.18441595216288</v>
      </c>
      <c r="U45" s="38">
        <f t="shared" si="23"/>
        <v>133.20035733457195</v>
      </c>
      <c r="V45" s="38">
        <f t="shared" si="23"/>
        <v>114.99389976177015</v>
      </c>
      <c r="W45" s="39">
        <f t="shared" si="23"/>
        <v>109.76417678283755</v>
      </c>
    </row>
    <row r="46" spans="1:25" x14ac:dyDescent="0.3">
      <c r="A46" s="45" t="s">
        <v>89</v>
      </c>
    </row>
    <row r="47" spans="1:25" x14ac:dyDescent="0.3">
      <c r="A47" s="26" t="s">
        <v>90</v>
      </c>
    </row>
    <row r="48" spans="1:25" x14ac:dyDescent="0.3">
      <c r="A48" s="32" t="s">
        <v>91</v>
      </c>
      <c r="B48" s="32"/>
      <c r="C48" s="32">
        <v>32469268.396650001</v>
      </c>
      <c r="D48" s="32">
        <v>33123848.60579</v>
      </c>
      <c r="E48" s="32">
        <v>34202276.429250002</v>
      </c>
      <c r="F48" s="32">
        <v>35153662.244000003</v>
      </c>
      <c r="G48" s="32">
        <v>37103312.221569993</v>
      </c>
      <c r="H48" s="32">
        <v>38476948.79958</v>
      </c>
      <c r="I48" s="32">
        <v>39261165.236699998</v>
      </c>
      <c r="J48" s="32">
        <v>39580643.798440017</v>
      </c>
      <c r="K48" s="32">
        <v>41462766.483000003</v>
      </c>
      <c r="L48" s="32">
        <v>43343818.894059993</v>
      </c>
      <c r="M48" s="32">
        <v>44275102.849219993</v>
      </c>
      <c r="N48" s="32">
        <v>45842493.395020001</v>
      </c>
      <c r="O48" s="32">
        <v>47640682.781880014</v>
      </c>
      <c r="P48" s="32">
        <v>47640622.342170008</v>
      </c>
      <c r="Q48" s="32">
        <v>48995747.728340022</v>
      </c>
      <c r="R48" s="32">
        <v>49961681.021519989</v>
      </c>
      <c r="S48" s="32">
        <v>51749904.124439999</v>
      </c>
      <c r="T48" s="32">
        <v>50773063.877800003</v>
      </c>
      <c r="U48" s="32">
        <v>53722777.372219868</v>
      </c>
      <c r="V48" s="32">
        <v>58532826.369349167</v>
      </c>
      <c r="W48" s="33">
        <v>62867871.943820201</v>
      </c>
      <c r="X48" s="32">
        <v>65768583.062982492</v>
      </c>
      <c r="Y48" s="32">
        <v>68200925.783903718</v>
      </c>
    </row>
    <row r="49" spans="1:25" x14ac:dyDescent="0.3">
      <c r="A49" s="32"/>
      <c r="B49" s="32"/>
      <c r="C49" s="32">
        <v>100</v>
      </c>
      <c r="D49" s="32">
        <f>(D48/C48)*C49</f>
        <v>102.01599925549149</v>
      </c>
      <c r="E49" s="32">
        <f t="shared" ref="E49:W49" si="24">(E48/D48)*D49</f>
        <v>105.33737936879047</v>
      </c>
      <c r="F49" s="32">
        <f t="shared" si="24"/>
        <v>108.26749101506383</v>
      </c>
      <c r="G49" s="32">
        <f t="shared" si="24"/>
        <v>114.27209190028469</v>
      </c>
      <c r="H49" s="32">
        <f t="shared" si="24"/>
        <v>118.50266636605163</v>
      </c>
      <c r="I49" s="32">
        <f t="shared" si="24"/>
        <v>120.91792385673446</v>
      </c>
      <c r="J49" s="32">
        <f t="shared" si="24"/>
        <v>121.90186521887794</v>
      </c>
      <c r="K49" s="32">
        <f t="shared" si="24"/>
        <v>127.69849316123765</v>
      </c>
      <c r="L49" s="32">
        <f t="shared" si="24"/>
        <v>133.49182483745759</v>
      </c>
      <c r="M49" s="32">
        <f t="shared" si="24"/>
        <v>136.36002606633431</v>
      </c>
      <c r="N49" s="32">
        <f t="shared" si="24"/>
        <v>141.18733084774331</v>
      </c>
      <c r="O49" s="32">
        <f t="shared" si="24"/>
        <v>146.72545805434689</v>
      </c>
      <c r="P49" s="32">
        <f t="shared" si="24"/>
        <v>146.72527190999259</v>
      </c>
      <c r="Q49" s="32">
        <f t="shared" si="24"/>
        <v>150.89883495310025</v>
      </c>
      <c r="R49" s="32">
        <f t="shared" si="24"/>
        <v>153.87375043742827</v>
      </c>
      <c r="S49" s="32">
        <f t="shared" si="24"/>
        <v>159.38118313062841</v>
      </c>
      <c r="T49" s="32">
        <f t="shared" si="24"/>
        <v>156.3726760256738</v>
      </c>
      <c r="U49" s="32">
        <f t="shared" si="24"/>
        <v>165.45730786395754</v>
      </c>
      <c r="V49" s="32">
        <f t="shared" si="24"/>
        <v>180.27146671216113</v>
      </c>
      <c r="W49" s="33">
        <f t="shared" si="24"/>
        <v>193.62269323661926</v>
      </c>
      <c r="X49" s="32"/>
      <c r="Y49" s="32"/>
    </row>
    <row r="50" spans="1:25" x14ac:dyDescent="0.3">
      <c r="A50" s="32"/>
      <c r="B50" s="32"/>
      <c r="C50" s="32">
        <f t="shared" ref="C50:W50" si="25">C48/C9</f>
        <v>9.8906937643817336</v>
      </c>
      <c r="D50" s="32">
        <f t="shared" si="25"/>
        <v>10.013654899708815</v>
      </c>
      <c r="E50" s="32">
        <f t="shared" si="25"/>
        <v>10.228577469812752</v>
      </c>
      <c r="F50" s="32">
        <f t="shared" si="25"/>
        <v>10.337521601110867</v>
      </c>
      <c r="G50" s="32">
        <f t="shared" si="25"/>
        <v>10.692871437212652</v>
      </c>
      <c r="H50" s="32">
        <f t="shared" si="25"/>
        <v>11.01111037011769</v>
      </c>
      <c r="I50" s="32">
        <f t="shared" si="25"/>
        <v>11.293981210635128</v>
      </c>
      <c r="J50" s="32">
        <f t="shared" si="25"/>
        <v>11.246239134241206</v>
      </c>
      <c r="K50" s="32">
        <f t="shared" si="25"/>
        <v>11.729371850876618</v>
      </c>
      <c r="L50" s="32">
        <f t="shared" si="25"/>
        <v>12.309720639986594</v>
      </c>
      <c r="M50" s="32">
        <f t="shared" si="25"/>
        <v>12.634067144088238</v>
      </c>
      <c r="N50" s="32">
        <f t="shared" si="25"/>
        <v>13.016890198684184</v>
      </c>
      <c r="O50" s="32">
        <f t="shared" si="25"/>
        <v>13.444997872616401</v>
      </c>
      <c r="P50" s="32">
        <f t="shared" si="25"/>
        <v>13.288958075103949</v>
      </c>
      <c r="Q50" s="32">
        <f t="shared" si="25"/>
        <v>13.493191330874611</v>
      </c>
      <c r="R50" s="32">
        <f t="shared" si="25"/>
        <v>13.585326226253327</v>
      </c>
      <c r="S50" s="32">
        <f t="shared" si="25"/>
        <v>13.912581008858902</v>
      </c>
      <c r="T50" s="32">
        <f t="shared" si="25"/>
        <v>13.775388141020859</v>
      </c>
      <c r="U50" s="32">
        <f t="shared" si="25"/>
        <v>14.359740857022617</v>
      </c>
      <c r="V50" s="32">
        <f t="shared" si="25"/>
        <v>15.479280865525624</v>
      </c>
      <c r="W50" s="33">
        <f t="shared" si="25"/>
        <v>17.006240867004152</v>
      </c>
      <c r="X50" s="32"/>
      <c r="Y50" s="32"/>
    </row>
    <row r="51" spans="1:25" x14ac:dyDescent="0.3">
      <c r="A51" s="32" t="s">
        <v>92</v>
      </c>
      <c r="B51" s="32"/>
      <c r="C51" s="34">
        <v>100</v>
      </c>
      <c r="D51" s="34">
        <f>(D50/C50)*C51</f>
        <v>101.24320030784784</v>
      </c>
      <c r="E51" s="34">
        <f t="shared" ref="E51:W51" si="26">(E50/D50)*D51</f>
        <v>103.41617801015941</v>
      </c>
      <c r="F51" s="34">
        <f t="shared" si="26"/>
        <v>104.51765919938036</v>
      </c>
      <c r="G51" s="34">
        <f t="shared" si="26"/>
        <v>108.11042877214247</v>
      </c>
      <c r="H51" s="34">
        <f t="shared" si="26"/>
        <v>111.32798803023088</v>
      </c>
      <c r="I51" s="34">
        <f t="shared" si="26"/>
        <v>114.18795768712299</v>
      </c>
      <c r="J51" s="34">
        <f t="shared" si="26"/>
        <v>113.70526074461073</v>
      </c>
      <c r="K51" s="34">
        <f t="shared" si="26"/>
        <v>118.58998094872081</v>
      </c>
      <c r="L51" s="34">
        <f t="shared" si="26"/>
        <v>124.4576056364846</v>
      </c>
      <c r="M51" s="34">
        <f t="shared" si="26"/>
        <v>127.73691558003657</v>
      </c>
      <c r="N51" s="34">
        <f t="shared" si="26"/>
        <v>131.6074535191907</v>
      </c>
      <c r="O51" s="34">
        <f t="shared" si="26"/>
        <v>135.93584224631834</v>
      </c>
      <c r="P51" s="34">
        <f t="shared" si="26"/>
        <v>134.35819965390101</v>
      </c>
      <c r="Q51" s="34">
        <f t="shared" si="26"/>
        <v>136.42310289159042</v>
      </c>
      <c r="R51" s="34">
        <f t="shared" si="26"/>
        <v>137.35463406193674</v>
      </c>
      <c r="S51" s="34">
        <f t="shared" si="26"/>
        <v>140.66334819667298</v>
      </c>
      <c r="T51" s="34">
        <f t="shared" si="26"/>
        <v>139.2762577548265</v>
      </c>
      <c r="U51" s="34">
        <f t="shared" si="26"/>
        <v>145.18436420238555</v>
      </c>
      <c r="V51" s="34">
        <f t="shared" si="26"/>
        <v>156.50348938382311</v>
      </c>
      <c r="W51" s="33">
        <f t="shared" si="26"/>
        <v>171.94184019979318</v>
      </c>
      <c r="X51" s="32"/>
      <c r="Y51" s="32"/>
    </row>
    <row r="52" spans="1:25" x14ac:dyDescent="0.3">
      <c r="A52" s="5" t="s">
        <v>93</v>
      </c>
      <c r="B52" s="6"/>
      <c r="C52" s="35">
        <f>C48*C25</f>
        <v>51939469.450695157</v>
      </c>
      <c r="D52" s="35">
        <f t="shared" ref="D52:W52" si="27">D48*D25</f>
        <v>51897137.419082567</v>
      </c>
      <c r="E52" s="35">
        <f t="shared" si="27"/>
        <v>52138311.841778822</v>
      </c>
      <c r="F52" s="35">
        <f t="shared" si="27"/>
        <v>52648243.337352373</v>
      </c>
      <c r="G52" s="35">
        <f t="shared" si="27"/>
        <v>54572220.020742081</v>
      </c>
      <c r="H52" s="35">
        <f t="shared" si="27"/>
        <v>54159637.001893699</v>
      </c>
      <c r="I52" s="35">
        <f t="shared" si="27"/>
        <v>55293887.498375513</v>
      </c>
      <c r="J52" s="35">
        <f t="shared" si="27"/>
        <v>54549618.032902263</v>
      </c>
      <c r="K52" s="35">
        <f t="shared" si="27"/>
        <v>55194586.307098478</v>
      </c>
      <c r="L52" s="35">
        <f t="shared" si="27"/>
        <v>56105922.091178566</v>
      </c>
      <c r="M52" s="35">
        <f t="shared" si="27"/>
        <v>56680986.667571433</v>
      </c>
      <c r="N52" s="35">
        <f t="shared" si="27"/>
        <v>58488698.469508283</v>
      </c>
      <c r="O52" s="35">
        <f t="shared" si="27"/>
        <v>60445591.771420017</v>
      </c>
      <c r="P52" s="35">
        <f t="shared" si="27"/>
        <v>59276435.729853295</v>
      </c>
      <c r="Q52" s="35">
        <f t="shared" si="27"/>
        <v>59692002.514104404</v>
      </c>
      <c r="R52" s="35">
        <f t="shared" si="27"/>
        <v>59642804.964332245</v>
      </c>
      <c r="S52" s="35">
        <f t="shared" si="27"/>
        <v>60902948.391347751</v>
      </c>
      <c r="T52" s="35">
        <f t="shared" si="27"/>
        <v>59311685.716178089</v>
      </c>
      <c r="U52" s="35">
        <f t="shared" si="27"/>
        <v>61264831.277316831</v>
      </c>
      <c r="V52" s="35">
        <f t="shared" si="27"/>
        <v>60906871.753264084</v>
      </c>
      <c r="W52" s="36">
        <f t="shared" si="27"/>
        <v>62867871.943820201</v>
      </c>
    </row>
    <row r="53" spans="1:25" x14ac:dyDescent="0.3">
      <c r="A53" s="8"/>
      <c r="C53" s="20">
        <v>100</v>
      </c>
      <c r="D53" s="20">
        <f>(D52/C52)*C53</f>
        <v>99.91849737384635</v>
      </c>
      <c r="E53" s="20">
        <f t="shared" ref="E53:W53" si="28">(E52/D52)*D53</f>
        <v>100.38283485215885</v>
      </c>
      <c r="F53" s="20">
        <f t="shared" si="28"/>
        <v>101.36461518408467</v>
      </c>
      <c r="G53" s="20">
        <f t="shared" si="28"/>
        <v>105.06888229296626</v>
      </c>
      <c r="H53" s="20">
        <f t="shared" si="28"/>
        <v>104.27452874409138</v>
      </c>
      <c r="I53" s="20">
        <f t="shared" si="28"/>
        <v>106.45832174097312</v>
      </c>
      <c r="J53" s="20">
        <f t="shared" si="28"/>
        <v>105.02536627695983</v>
      </c>
      <c r="K53" s="20">
        <f t="shared" si="28"/>
        <v>106.26713536127531</v>
      </c>
      <c r="L53" s="20">
        <f t="shared" si="28"/>
        <v>108.02174663035113</v>
      </c>
      <c r="M53" s="20">
        <f t="shared" si="28"/>
        <v>109.12892886088731</v>
      </c>
      <c r="N53" s="20">
        <f t="shared" si="28"/>
        <v>112.60934909054112</v>
      </c>
      <c r="O53" s="20">
        <f t="shared" si="28"/>
        <v>116.37699116044975</v>
      </c>
      <c r="P53" s="20">
        <f t="shared" si="28"/>
        <v>114.12599388625431</v>
      </c>
      <c r="Q53" s="20">
        <f t="shared" si="28"/>
        <v>114.92609213262858</v>
      </c>
      <c r="R53" s="20">
        <f t="shared" si="28"/>
        <v>114.83137120018075</v>
      </c>
      <c r="S53" s="20">
        <f t="shared" si="28"/>
        <v>117.25754813333509</v>
      </c>
      <c r="T53" s="20">
        <f t="shared" si="28"/>
        <v>114.19386132251735</v>
      </c>
      <c r="U53" s="20">
        <f t="shared" si="28"/>
        <v>117.95428779932766</v>
      </c>
      <c r="V53" s="20">
        <f t="shared" si="28"/>
        <v>117.26510185299729</v>
      </c>
      <c r="W53" s="37">
        <f t="shared" si="28"/>
        <v>121.04065098989722</v>
      </c>
    </row>
    <row r="54" spans="1:25" x14ac:dyDescent="0.3">
      <c r="A54" s="8"/>
      <c r="C54" s="20">
        <f>C52/C9</f>
        <v>15.821649577860173</v>
      </c>
      <c r="D54" s="20">
        <f>D52/D9</f>
        <v>15.688998901734461</v>
      </c>
      <c r="E54" s="20">
        <f t="shared" ref="E54:W54" si="29">E52/E9</f>
        <v>15.592551651410201</v>
      </c>
      <c r="F54" s="20">
        <f t="shared" si="29"/>
        <v>15.482095406811107</v>
      </c>
      <c r="G54" s="20">
        <f t="shared" si="29"/>
        <v>15.727267938786349</v>
      </c>
      <c r="H54" s="20">
        <f t="shared" si="29"/>
        <v>15.499091254342678</v>
      </c>
      <c r="I54" s="20">
        <f t="shared" si="29"/>
        <v>15.906000820522653</v>
      </c>
      <c r="J54" s="20">
        <f t="shared" si="29"/>
        <v>15.499445946448049</v>
      </c>
      <c r="K54" s="20">
        <f t="shared" si="29"/>
        <v>15.613956372561347</v>
      </c>
      <c r="L54" s="20">
        <f t="shared" si="29"/>
        <v>15.934180347129258</v>
      </c>
      <c r="M54" s="20">
        <f t="shared" si="29"/>
        <v>16.174132757861763</v>
      </c>
      <c r="N54" s="20">
        <f t="shared" si="29"/>
        <v>16.607756460390167</v>
      </c>
      <c r="O54" s="20">
        <f t="shared" si="29"/>
        <v>17.058757459389017</v>
      </c>
      <c r="P54" s="20">
        <f t="shared" si="29"/>
        <v>16.534672103944096</v>
      </c>
      <c r="Q54" s="20">
        <f t="shared" si="29"/>
        <v>16.438888029868366</v>
      </c>
      <c r="R54" s="20">
        <f t="shared" si="29"/>
        <v>16.217768216010363</v>
      </c>
      <c r="S54" s="20">
        <f t="shared" si="29"/>
        <v>16.373309622670682</v>
      </c>
      <c r="T54" s="20">
        <f t="shared" si="29"/>
        <v>16.092026551815774</v>
      </c>
      <c r="U54" s="20">
        <f t="shared" si="29"/>
        <v>16.375681672154244</v>
      </c>
      <c r="V54" s="20">
        <f t="shared" si="29"/>
        <v>16.107108318333662</v>
      </c>
      <c r="W54" s="37">
        <f t="shared" si="29"/>
        <v>17.006240867004152</v>
      </c>
    </row>
    <row r="55" spans="1:25" x14ac:dyDescent="0.3">
      <c r="A55" s="21" t="s">
        <v>94</v>
      </c>
      <c r="B55" s="22"/>
      <c r="C55" s="38">
        <v>100</v>
      </c>
      <c r="D55" s="38">
        <f>(D54/C54)*C55</f>
        <v>99.161587573578075</v>
      </c>
      <c r="E55" s="38">
        <f t="shared" ref="E55:W55" si="30">(E54/D54)*D55</f>
        <v>98.551997215444857</v>
      </c>
      <c r="F55" s="38">
        <f t="shared" si="30"/>
        <v>97.853863660814369</v>
      </c>
      <c r="G55" s="38">
        <f t="shared" si="30"/>
        <v>99.403465241665458</v>
      </c>
      <c r="H55" s="38">
        <f t="shared" si="30"/>
        <v>97.961285124347185</v>
      </c>
      <c r="I55" s="38">
        <f t="shared" si="30"/>
        <v>100.53313810451544</v>
      </c>
      <c r="J55" s="38">
        <f t="shared" si="30"/>
        <v>97.963526939295903</v>
      </c>
      <c r="K55" s="38">
        <f t="shared" si="30"/>
        <v>98.687284759552128</v>
      </c>
      <c r="L55" s="38">
        <f t="shared" si="30"/>
        <v>100.71124549128274</v>
      </c>
      <c r="M55" s="38">
        <f t="shared" si="30"/>
        <v>102.22785353870327</v>
      </c>
      <c r="N55" s="38">
        <f t="shared" si="30"/>
        <v>104.96855197469436</v>
      </c>
      <c r="O55" s="38">
        <f t="shared" si="30"/>
        <v>107.81908280448819</v>
      </c>
      <c r="P55" s="38">
        <f t="shared" si="30"/>
        <v>104.50662570027895</v>
      </c>
      <c r="Q55" s="38">
        <f t="shared" si="30"/>
        <v>103.901226916768</v>
      </c>
      <c r="R55" s="38">
        <f t="shared" si="30"/>
        <v>102.50364942164117</v>
      </c>
      <c r="S55" s="38">
        <f t="shared" si="30"/>
        <v>103.48674164533682</v>
      </c>
      <c r="T55" s="38">
        <f t="shared" si="30"/>
        <v>101.70890508366428</v>
      </c>
      <c r="U55" s="38">
        <f t="shared" si="30"/>
        <v>103.50173407372988</v>
      </c>
      <c r="V55" s="38">
        <f t="shared" si="30"/>
        <v>101.80422868720933</v>
      </c>
      <c r="W55" s="39">
        <f t="shared" si="30"/>
        <v>107.4871541258354</v>
      </c>
    </row>
    <row r="56" spans="1:25" x14ac:dyDescent="0.3">
      <c r="A56" s="26" t="s">
        <v>95</v>
      </c>
    </row>
    <row r="57" spans="1:25" x14ac:dyDescent="0.3">
      <c r="A57" s="32" t="s">
        <v>96</v>
      </c>
      <c r="B57" s="32"/>
      <c r="C57" s="32">
        <v>45740071.895230003</v>
      </c>
      <c r="D57" s="32">
        <v>49471194.458180003</v>
      </c>
      <c r="E57" s="32">
        <v>51489775.262560003</v>
      </c>
      <c r="F57" s="32">
        <v>53137694.574450001</v>
      </c>
      <c r="G57" s="32">
        <v>55551743.960129999</v>
      </c>
      <c r="H57" s="32">
        <v>55597964.64350085</v>
      </c>
      <c r="I57" s="32">
        <v>60005316.79828617</v>
      </c>
      <c r="J57" s="32">
        <v>62498799.437202722</v>
      </c>
      <c r="K57" s="32">
        <v>65753434.160070524</v>
      </c>
      <c r="L57" s="32">
        <v>67089304.179913342</v>
      </c>
      <c r="M57" s="32">
        <v>69743794.864972085</v>
      </c>
      <c r="N57" s="32">
        <v>73219534.039343894</v>
      </c>
      <c r="O57" s="32">
        <v>63212126.102489561</v>
      </c>
      <c r="P57" s="32">
        <v>65299032.636351019</v>
      </c>
      <c r="Q57" s="32">
        <v>68913399.054115579</v>
      </c>
      <c r="R57" s="32">
        <v>70920703.508738726</v>
      </c>
      <c r="S57" s="32">
        <v>73329306.571754724</v>
      </c>
      <c r="T57" s="32">
        <v>81169680.245554477</v>
      </c>
      <c r="U57" s="32">
        <v>81725543.139398187</v>
      </c>
      <c r="V57" s="32">
        <v>86385195.721542031</v>
      </c>
      <c r="W57" s="33">
        <v>93354528.159817308</v>
      </c>
      <c r="X57" s="32">
        <v>99309273.881186157</v>
      </c>
      <c r="Y57" s="32">
        <v>105421945.60847655</v>
      </c>
    </row>
    <row r="58" spans="1:25" x14ac:dyDescent="0.3">
      <c r="A58" s="32"/>
      <c r="B58" s="32"/>
      <c r="C58" s="32">
        <v>100</v>
      </c>
      <c r="D58" s="32">
        <f>(D57/C57)*C58</f>
        <v>108.1572293360105</v>
      </c>
      <c r="E58" s="32">
        <f t="shared" ref="E58:W58" si="31">(E57/D57)*D58</f>
        <v>112.5703855046402</v>
      </c>
      <c r="F58" s="32">
        <f t="shared" si="31"/>
        <v>116.17317676317744</v>
      </c>
      <c r="G58" s="32">
        <f t="shared" si="31"/>
        <v>121.45093275623644</v>
      </c>
      <c r="H58" s="32">
        <f t="shared" si="31"/>
        <v>121.55198350114284</v>
      </c>
      <c r="I58" s="32">
        <f t="shared" si="31"/>
        <v>131.1876311338807</v>
      </c>
      <c r="J58" s="32">
        <f t="shared" si="31"/>
        <v>136.6390494102402</v>
      </c>
      <c r="K58" s="32">
        <f t="shared" si="31"/>
        <v>143.75454920727313</v>
      </c>
      <c r="L58" s="32">
        <f t="shared" si="31"/>
        <v>146.67511746283404</v>
      </c>
      <c r="M58" s="32">
        <f t="shared" si="31"/>
        <v>152.47854228284524</v>
      </c>
      <c r="N58" s="32">
        <f t="shared" si="31"/>
        <v>160.0774353985648</v>
      </c>
      <c r="O58" s="32">
        <f t="shared" si="31"/>
        <v>138.19857180653369</v>
      </c>
      <c r="P58" s="32">
        <f t="shared" si="31"/>
        <v>142.76110624819708</v>
      </c>
      <c r="Q58" s="32">
        <f t="shared" si="31"/>
        <v>150.66307550186039</v>
      </c>
      <c r="R58" s="32">
        <f t="shared" si="31"/>
        <v>155.0515785615429</v>
      </c>
      <c r="S58" s="32">
        <f t="shared" si="31"/>
        <v>160.31742744025263</v>
      </c>
      <c r="T58" s="32">
        <f t="shared" si="31"/>
        <v>177.45857599760197</v>
      </c>
      <c r="U58" s="32">
        <f t="shared" si="31"/>
        <v>178.67384058030078</v>
      </c>
      <c r="V58" s="32">
        <f t="shared" si="31"/>
        <v>188.86108425761074</v>
      </c>
      <c r="W58" s="33">
        <f t="shared" si="31"/>
        <v>204.09790429199742</v>
      </c>
      <c r="X58" s="32"/>
      <c r="Y58" s="32"/>
    </row>
    <row r="59" spans="1:25" x14ac:dyDescent="0.3">
      <c r="A59" s="32"/>
      <c r="B59" s="32"/>
      <c r="C59" s="32">
        <f t="shared" ref="C59:W59" si="32">C57/C9</f>
        <v>13.933207189947028</v>
      </c>
      <c r="D59" s="32">
        <f t="shared" si="32"/>
        <v>14.955613240365095</v>
      </c>
      <c r="E59" s="32">
        <f t="shared" si="32"/>
        <v>15.398599454799276</v>
      </c>
      <c r="F59" s="32">
        <f t="shared" si="32"/>
        <v>15.626026719033085</v>
      </c>
      <c r="G59" s="32">
        <f t="shared" si="32"/>
        <v>16.009558735117412</v>
      </c>
      <c r="H59" s="32">
        <f t="shared" si="32"/>
        <v>15.910703528814409</v>
      </c>
      <c r="I59" s="32">
        <f t="shared" si="32"/>
        <v>17.261304303433221</v>
      </c>
      <c r="J59" s="32">
        <f t="shared" si="32"/>
        <v>17.758085180551404</v>
      </c>
      <c r="K59" s="32">
        <f t="shared" si="32"/>
        <v>18.60094116131436</v>
      </c>
      <c r="L59" s="32">
        <f t="shared" si="32"/>
        <v>19.053480137602641</v>
      </c>
      <c r="M59" s="32">
        <f t="shared" si="32"/>
        <v>19.901654214296133</v>
      </c>
      <c r="N59" s="32">
        <f t="shared" si="32"/>
        <v>20.790549649563683</v>
      </c>
      <c r="O59" s="32">
        <f t="shared" si="32"/>
        <v>17.839519741198664</v>
      </c>
      <c r="P59" s="32">
        <f t="shared" si="32"/>
        <v>18.214625762375952</v>
      </c>
      <c r="Q59" s="32">
        <f t="shared" si="32"/>
        <v>18.978415919964544</v>
      </c>
      <c r="R59" s="32">
        <f t="shared" si="32"/>
        <v>19.284397035131878</v>
      </c>
      <c r="S59" s="32">
        <f t="shared" si="32"/>
        <v>19.714044600928563</v>
      </c>
      <c r="T59" s="32">
        <f t="shared" si="32"/>
        <v>22.022382839771129</v>
      </c>
      <c r="U59" s="32">
        <f t="shared" si="32"/>
        <v>21.844693783237442</v>
      </c>
      <c r="V59" s="32">
        <f t="shared" si="32"/>
        <v>22.844970764941039</v>
      </c>
      <c r="W59" s="33">
        <f t="shared" si="32"/>
        <v>25.253114871298489</v>
      </c>
      <c r="X59" s="32"/>
      <c r="Y59" s="32"/>
    </row>
    <row r="60" spans="1:25" x14ac:dyDescent="0.3">
      <c r="A60" s="32" t="s">
        <v>97</v>
      </c>
      <c r="B60" s="32"/>
      <c r="C60" s="32">
        <v>100</v>
      </c>
      <c r="D60" s="34">
        <f>(D59/C59)*C60</f>
        <v>107.33790889979548</v>
      </c>
      <c r="E60" s="34">
        <f t="shared" ref="E60:W60" si="33">(E59/D59)*D60</f>
        <v>110.51726458147803</v>
      </c>
      <c r="F60" s="34">
        <f t="shared" si="33"/>
        <v>112.14953245156252</v>
      </c>
      <c r="G60" s="34">
        <f t="shared" si="33"/>
        <v>114.90217949725526</v>
      </c>
      <c r="H60" s="34">
        <f t="shared" si="33"/>
        <v>114.19268594738307</v>
      </c>
      <c r="I60" s="34">
        <f t="shared" si="33"/>
        <v>123.8860806999802</v>
      </c>
      <c r="J60" s="34">
        <f t="shared" si="33"/>
        <v>127.45152597288633</v>
      </c>
      <c r="K60" s="34">
        <f t="shared" si="33"/>
        <v>133.50078634253822</v>
      </c>
      <c r="L60" s="34">
        <f t="shared" si="33"/>
        <v>136.74870313670456</v>
      </c>
      <c r="M60" s="34">
        <f t="shared" si="33"/>
        <v>142.83613200452086</v>
      </c>
      <c r="N60" s="34">
        <f t="shared" si="33"/>
        <v>149.21582207264026</v>
      </c>
      <c r="O60" s="34">
        <f t="shared" si="33"/>
        <v>128.03598983348272</v>
      </c>
      <c r="P60" s="34">
        <f t="shared" si="33"/>
        <v>130.72816268402306</v>
      </c>
      <c r="Q60" s="34">
        <f t="shared" si="33"/>
        <v>136.20995985517024</v>
      </c>
      <c r="R60" s="34">
        <f t="shared" si="33"/>
        <v>138.40601644857327</v>
      </c>
      <c r="S60" s="34">
        <f t="shared" si="33"/>
        <v>141.48963933553273</v>
      </c>
      <c r="T60" s="34">
        <f t="shared" si="33"/>
        <v>158.05681017691703</v>
      </c>
      <c r="U60" s="34">
        <f t="shared" si="33"/>
        <v>156.78151832119917</v>
      </c>
      <c r="V60" s="34">
        <f t="shared" si="33"/>
        <v>163.96060471578971</v>
      </c>
      <c r="W60" s="41">
        <f t="shared" si="33"/>
        <v>181.24409209617517</v>
      </c>
      <c r="X60" s="32"/>
      <c r="Y60" s="32"/>
    </row>
    <row r="61" spans="1:25" x14ac:dyDescent="0.3">
      <c r="A61" s="5" t="s">
        <v>98</v>
      </c>
      <c r="B61" s="6"/>
      <c r="C61" s="6">
        <f>C57*C25</f>
        <v>73168112.00833869</v>
      </c>
      <c r="D61" s="6">
        <f t="shared" ref="D61:W61" si="34">D57*D25</f>
        <v>77509513.08941628</v>
      </c>
      <c r="E61" s="6">
        <f t="shared" si="34"/>
        <v>78491557.860358804</v>
      </c>
      <c r="F61" s="6">
        <f t="shared" si="34"/>
        <v>79582214.078393653</v>
      </c>
      <c r="G61" s="6">
        <f t="shared" si="34"/>
        <v>81706505.764887899</v>
      </c>
      <c r="H61" s="6">
        <f t="shared" si="34"/>
        <v>78258949.243111372</v>
      </c>
      <c r="I61" s="6">
        <f t="shared" si="34"/>
        <v>84509138.135496095</v>
      </c>
      <c r="J61" s="6">
        <f t="shared" si="34"/>
        <v>86135173.904087543</v>
      </c>
      <c r="K61" s="6">
        <f t="shared" si="34"/>
        <v>87529943.23772724</v>
      </c>
      <c r="L61" s="6">
        <f t="shared" si="34"/>
        <v>86843000.213473275</v>
      </c>
      <c r="M61" s="6">
        <f t="shared" si="34"/>
        <v>89286006.186137259</v>
      </c>
      <c r="N61" s="6">
        <f t="shared" si="34"/>
        <v>93418026.188128427</v>
      </c>
      <c r="O61" s="6">
        <f t="shared" si="34"/>
        <v>80202342.751642361</v>
      </c>
      <c r="P61" s="6">
        <f t="shared" si="34"/>
        <v>81247761.28006278</v>
      </c>
      <c r="Q61" s="6">
        <f t="shared" si="34"/>
        <v>83957873.495507017</v>
      </c>
      <c r="R61" s="6">
        <f t="shared" si="34"/>
        <v>84663077.799223542</v>
      </c>
      <c r="S61" s="6">
        <f t="shared" si="34"/>
        <v>86299115.897371203</v>
      </c>
      <c r="T61" s="6">
        <f t="shared" si="34"/>
        <v>94820170.316962168</v>
      </c>
      <c r="U61" s="6">
        <f t="shared" si="34"/>
        <v>93198860.0811131</v>
      </c>
      <c r="V61" s="6">
        <f t="shared" si="34"/>
        <v>89888911.292138591</v>
      </c>
      <c r="W61" s="27">
        <f t="shared" si="34"/>
        <v>93354528.159817308</v>
      </c>
    </row>
    <row r="62" spans="1:25" x14ac:dyDescent="0.3">
      <c r="A62" s="8"/>
      <c r="C62">
        <v>100</v>
      </c>
      <c r="D62">
        <f>(D61/C61)*C62</f>
        <v>105.93346057717442</v>
      </c>
      <c r="E62">
        <f t="shared" ref="E62:W62" si="35">(E61/D61)*D62</f>
        <v>107.2756364841195</v>
      </c>
      <c r="F62">
        <f t="shared" si="35"/>
        <v>108.76625334998937</v>
      </c>
      <c r="G62">
        <f t="shared" si="35"/>
        <v>111.66955593384195</v>
      </c>
      <c r="H62">
        <f t="shared" si="35"/>
        <v>106.95772665856474</v>
      </c>
      <c r="I62">
        <f t="shared" si="35"/>
        <v>115.49995731182037</v>
      </c>
      <c r="J62">
        <f t="shared" si="35"/>
        <v>117.72228576059342</v>
      </c>
      <c r="K62">
        <f t="shared" si="35"/>
        <v>119.62853876529134</v>
      </c>
      <c r="L62">
        <f t="shared" si="35"/>
        <v>118.6896830187119</v>
      </c>
      <c r="M62">
        <f t="shared" si="35"/>
        <v>122.02857738896103</v>
      </c>
      <c r="N62">
        <f t="shared" si="35"/>
        <v>127.67587357930178</v>
      </c>
      <c r="O62">
        <f t="shared" si="35"/>
        <v>109.61379288084133</v>
      </c>
      <c r="P62">
        <f t="shared" si="35"/>
        <v>111.04258269067169</v>
      </c>
      <c r="Q62">
        <f t="shared" si="35"/>
        <v>114.74653532940503</v>
      </c>
      <c r="R62">
        <f t="shared" si="35"/>
        <v>115.71034905147586</v>
      </c>
      <c r="S62">
        <f t="shared" si="35"/>
        <v>117.94634784007546</v>
      </c>
      <c r="T62">
        <f t="shared" si="35"/>
        <v>129.59220583162764</v>
      </c>
      <c r="U62">
        <f t="shared" si="35"/>
        <v>127.37633584216516</v>
      </c>
      <c r="V62">
        <f t="shared" si="35"/>
        <v>122.85257720179285</v>
      </c>
      <c r="W62" s="28">
        <f t="shared" si="35"/>
        <v>127.58908983353024</v>
      </c>
    </row>
    <row r="63" spans="1:25" x14ac:dyDescent="0.3">
      <c r="A63" s="8"/>
      <c r="C63">
        <f>C61/C9</f>
        <v>22.288256709446692</v>
      </c>
      <c r="D63">
        <f t="shared" ref="D63:W63" si="36">D61/D9</f>
        <v>23.431863995001095</v>
      </c>
      <c r="E63">
        <f t="shared" si="36"/>
        <v>23.473787832857866</v>
      </c>
      <c r="F63">
        <f t="shared" si="36"/>
        <v>23.402479417063823</v>
      </c>
      <c r="G63">
        <f t="shared" si="36"/>
        <v>23.547147395102613</v>
      </c>
      <c r="H63">
        <f t="shared" si="36"/>
        <v>22.395692861559326</v>
      </c>
      <c r="I63">
        <f t="shared" si="36"/>
        <v>24.310144960676794</v>
      </c>
      <c r="J63">
        <f t="shared" si="36"/>
        <v>24.474002204911084</v>
      </c>
      <c r="K63">
        <f t="shared" si="36"/>
        <v>24.761281974331546</v>
      </c>
      <c r="L63">
        <f t="shared" si="36"/>
        <v>24.663564481454905</v>
      </c>
      <c r="M63">
        <f t="shared" si="36"/>
        <v>25.478097725141907</v>
      </c>
      <c r="N63">
        <f t="shared" si="36"/>
        <v>26.525873690822635</v>
      </c>
      <c r="O63">
        <f t="shared" si="36"/>
        <v>22.634443184026296</v>
      </c>
      <c r="P63">
        <f t="shared" si="36"/>
        <v>22.663391875783557</v>
      </c>
      <c r="Q63">
        <f t="shared" si="36"/>
        <v>23.12159122643568</v>
      </c>
      <c r="R63">
        <f t="shared" si="36"/>
        <v>23.0211535661841</v>
      </c>
      <c r="S63">
        <f t="shared" si="36"/>
        <v>23.20088242150096</v>
      </c>
      <c r="T63">
        <f t="shared" si="36"/>
        <v>25.725937139770966</v>
      </c>
      <c r="U63">
        <f t="shared" si="36"/>
        <v>24.911435044807213</v>
      </c>
      <c r="V63">
        <f t="shared" si="36"/>
        <v>23.771544804744792</v>
      </c>
      <c r="W63" s="28">
        <f t="shared" si="36"/>
        <v>25.253114871298489</v>
      </c>
    </row>
    <row r="64" spans="1:25" x14ac:dyDescent="0.3">
      <c r="A64" s="21" t="s">
        <v>99</v>
      </c>
      <c r="B64" s="22"/>
      <c r="C64" s="30">
        <v>100</v>
      </c>
      <c r="D64" s="30">
        <f>(D63/C63)*C64</f>
        <v>105.13098579428015</v>
      </c>
      <c r="E64" s="30">
        <f t="shared" ref="E64:W64" si="37">(E63/D63)*D64</f>
        <v>105.31908412069167</v>
      </c>
      <c r="F64" s="30">
        <f t="shared" si="37"/>
        <v>104.99914695950571</v>
      </c>
      <c r="G64" s="30">
        <f t="shared" si="37"/>
        <v>105.6482240942709</v>
      </c>
      <c r="H64" s="30">
        <f t="shared" si="37"/>
        <v>100.48203030642183</v>
      </c>
      <c r="I64" s="30">
        <f t="shared" si="37"/>
        <v>109.0715405766712</v>
      </c>
      <c r="J64" s="30">
        <f t="shared" si="37"/>
        <v>109.80671357099892</v>
      </c>
      <c r="K64" s="30">
        <f t="shared" si="37"/>
        <v>111.09564241440506</v>
      </c>
      <c r="L64" s="30">
        <f t="shared" si="37"/>
        <v>110.65721650182472</v>
      </c>
      <c r="M64" s="30">
        <f t="shared" si="37"/>
        <v>114.31175644321803</v>
      </c>
      <c r="N64" s="30">
        <f t="shared" si="37"/>
        <v>119.01277895628267</v>
      </c>
      <c r="O64" s="30">
        <f t="shared" si="37"/>
        <v>101.55322365087834</v>
      </c>
      <c r="P64" s="30">
        <f t="shared" si="37"/>
        <v>101.68310680923676</v>
      </c>
      <c r="Q64" s="30">
        <f t="shared" si="37"/>
        <v>103.73889500579821</v>
      </c>
      <c r="R64" s="30">
        <f t="shared" si="37"/>
        <v>103.28826460629726</v>
      </c>
      <c r="S64" s="30">
        <f t="shared" si="37"/>
        <v>104.09464824437104</v>
      </c>
      <c r="T64" s="30">
        <f t="shared" si="37"/>
        <v>115.42372952330203</v>
      </c>
      <c r="U64" s="30">
        <f t="shared" si="37"/>
        <v>111.76932933587717</v>
      </c>
      <c r="V64" s="30">
        <f t="shared" si="37"/>
        <v>106.65502068930057</v>
      </c>
      <c r="W64" s="31">
        <f t="shared" si="37"/>
        <v>113.30233315463909</v>
      </c>
    </row>
    <row r="67" spans="1:25" x14ac:dyDescent="0.3">
      <c r="A67" s="26" t="s">
        <v>100</v>
      </c>
    </row>
    <row r="68" spans="1:25" x14ac:dyDescent="0.3">
      <c r="A68" s="40" t="s">
        <v>101</v>
      </c>
      <c r="B68" s="40"/>
      <c r="C68" s="32">
        <v>92272.388000000006</v>
      </c>
      <c r="D68" s="32">
        <v>106957.35799</v>
      </c>
      <c r="E68" s="32">
        <v>162784.39199999999</v>
      </c>
      <c r="F68" s="32">
        <v>152960.13156000001</v>
      </c>
      <c r="G68" s="32">
        <v>162433.16453000001</v>
      </c>
      <c r="H68" s="32">
        <v>172068.32260000001</v>
      </c>
      <c r="I68" s="32">
        <v>173004.17600000001</v>
      </c>
      <c r="J68" s="32">
        <v>185087.92300000001</v>
      </c>
      <c r="K68" s="32">
        <v>193006.84555</v>
      </c>
      <c r="L68" s="32">
        <v>199484.64199999999</v>
      </c>
      <c r="M68" s="32">
        <v>201195.19130000001</v>
      </c>
      <c r="N68" s="32">
        <v>205323.345</v>
      </c>
      <c r="O68" s="32">
        <v>207944.247</v>
      </c>
      <c r="P68" s="32">
        <v>214029.49600000001</v>
      </c>
      <c r="Q68" s="32">
        <v>219917.495</v>
      </c>
      <c r="R68" s="32">
        <v>225798.78599999999</v>
      </c>
      <c r="S68" s="32">
        <v>231753.851</v>
      </c>
      <c r="T68" s="32">
        <v>221874.38159</v>
      </c>
      <c r="U68" s="32">
        <v>230898.40729999999</v>
      </c>
      <c r="V68" s="32">
        <v>239638.02611000001</v>
      </c>
      <c r="W68" s="33">
        <v>279678.59902000002</v>
      </c>
      <c r="X68" s="32">
        <v>297899.92258999997</v>
      </c>
      <c r="Y68" s="32">
        <v>322394.28700000001</v>
      </c>
    </row>
    <row r="69" spans="1:25" x14ac:dyDescent="0.3">
      <c r="A69" s="32"/>
      <c r="B69" s="32"/>
      <c r="C69" s="32">
        <v>100</v>
      </c>
      <c r="D69" s="42">
        <f>(D68/C68)*C69</f>
        <v>115.91480431827559</v>
      </c>
      <c r="E69" s="42">
        <f t="shared" ref="E69:W69" si="38">(E68/D68)*D69</f>
        <v>176.41723112227245</v>
      </c>
      <c r="F69" s="42">
        <f t="shared" si="38"/>
        <v>165.77021021716703</v>
      </c>
      <c r="G69" s="42">
        <f t="shared" si="38"/>
        <v>176.03658911482816</v>
      </c>
      <c r="H69" s="42">
        <f t="shared" si="38"/>
        <v>186.47867073733912</v>
      </c>
      <c r="I69" s="42">
        <f t="shared" si="38"/>
        <v>187.49289982611049</v>
      </c>
      <c r="J69" s="42">
        <f t="shared" si="38"/>
        <v>200.58863438106749</v>
      </c>
      <c r="K69" s="42">
        <f t="shared" si="38"/>
        <v>209.1707494879183</v>
      </c>
      <c r="L69" s="42">
        <f t="shared" si="38"/>
        <v>216.19104731525968</v>
      </c>
      <c r="M69" s="42">
        <f t="shared" si="38"/>
        <v>218.04485140235019</v>
      </c>
      <c r="N69" s="42">
        <f t="shared" si="38"/>
        <v>222.51872900482428</v>
      </c>
      <c r="O69" s="42">
        <f t="shared" si="38"/>
        <v>225.35912585247061</v>
      </c>
      <c r="P69" s="42">
        <f t="shared" si="38"/>
        <v>231.95400123382524</v>
      </c>
      <c r="Q69" s="42">
        <f t="shared" si="38"/>
        <v>238.33510735627647</v>
      </c>
      <c r="R69" s="42">
        <f t="shared" si="38"/>
        <v>244.70894369830327</v>
      </c>
      <c r="S69" s="42">
        <f t="shared" si="38"/>
        <v>251.1627324525295</v>
      </c>
      <c r="T69" s="42">
        <f t="shared" si="38"/>
        <v>240.45587894614795</v>
      </c>
      <c r="U69" s="42">
        <f t="shared" si="38"/>
        <v>250.23564720141408</v>
      </c>
      <c r="V69" s="42">
        <f t="shared" si="38"/>
        <v>259.70719009678163</v>
      </c>
      <c r="W69" s="42">
        <f t="shared" si="38"/>
        <v>303.10107398542658</v>
      </c>
      <c r="X69" s="32"/>
      <c r="Y69" s="32"/>
    </row>
    <row r="70" spans="1:25" x14ac:dyDescent="0.3">
      <c r="A70" s="32"/>
      <c r="B70" s="32"/>
      <c r="C70" s="32">
        <f>C68/C13</f>
        <v>0.27106728475576081</v>
      </c>
      <c r="D70" s="32">
        <f t="shared" ref="D70:W70" si="39">D68/D13</f>
        <v>0.30652955604275928</v>
      </c>
      <c r="E70" s="32">
        <f t="shared" si="39"/>
        <v>0.45860830025383642</v>
      </c>
      <c r="F70" s="32">
        <f t="shared" si="39"/>
        <v>0.40966123583889957</v>
      </c>
      <c r="G70" s="32">
        <f t="shared" si="39"/>
        <v>0.41879220785281329</v>
      </c>
      <c r="H70" s="32">
        <f t="shared" si="39"/>
        <v>0.41615773516273291</v>
      </c>
      <c r="I70" s="32">
        <f t="shared" si="39"/>
        <v>0.40300446788388161</v>
      </c>
      <c r="J70" s="32">
        <f t="shared" si="39"/>
        <v>0.41505024879972913</v>
      </c>
      <c r="K70" s="32">
        <f t="shared" si="39"/>
        <v>0.41554837640457903</v>
      </c>
      <c r="L70" s="32">
        <f t="shared" si="39"/>
        <v>0.41778725765949914</v>
      </c>
      <c r="M70" s="32">
        <f t="shared" si="39"/>
        <v>0.41549423993920259</v>
      </c>
      <c r="N70" s="32">
        <f t="shared" si="39"/>
        <v>0.42219802804737622</v>
      </c>
      <c r="O70" s="32">
        <f t="shared" si="39"/>
        <v>0.41527223001066416</v>
      </c>
      <c r="P70" s="32">
        <f t="shared" si="39"/>
        <v>0.41416459806414413</v>
      </c>
      <c r="Q70" s="32">
        <f t="shared" si="39"/>
        <v>0.41190533673719759</v>
      </c>
      <c r="R70" s="32">
        <f t="shared" si="39"/>
        <v>0.40966507432249777</v>
      </c>
      <c r="S70" s="32">
        <f t="shared" si="39"/>
        <v>0.40961686833444683</v>
      </c>
      <c r="T70" s="32">
        <f t="shared" si="39"/>
        <v>0.37116953079021903</v>
      </c>
      <c r="U70" s="32">
        <f t="shared" si="39"/>
        <v>0.36822554775722144</v>
      </c>
      <c r="V70" s="43">
        <f t="shared" si="39"/>
        <v>0.36579926685370961</v>
      </c>
      <c r="W70" s="43">
        <f t="shared" si="39"/>
        <v>0.40952387781578364</v>
      </c>
      <c r="X70" s="32"/>
      <c r="Y70" s="32"/>
    </row>
    <row r="71" spans="1:25" x14ac:dyDescent="0.3">
      <c r="A71" s="32" t="s">
        <v>102</v>
      </c>
      <c r="B71" s="32"/>
      <c r="C71" s="32">
        <v>100</v>
      </c>
      <c r="D71" s="34">
        <f>(D70/C70)*C71</f>
        <v>113.08246080634592</v>
      </c>
      <c r="E71" s="34">
        <f t="shared" ref="E71:W71" si="40">(E70/D70)*D71</f>
        <v>169.18614899140459</v>
      </c>
      <c r="F71" s="34">
        <f t="shared" si="40"/>
        <v>151.12898489687379</v>
      </c>
      <c r="G71" s="34">
        <f t="shared" si="40"/>
        <v>154.49751091510612</v>
      </c>
      <c r="H71" s="34">
        <f t="shared" si="40"/>
        <v>153.52562207486702</v>
      </c>
      <c r="I71" s="34">
        <f t="shared" si="40"/>
        <v>148.67322268233141</v>
      </c>
      <c r="J71" s="34">
        <f t="shared" si="40"/>
        <v>153.11705696012007</v>
      </c>
      <c r="K71" s="34">
        <f t="shared" si="40"/>
        <v>153.30082225857677</v>
      </c>
      <c r="L71" s="34">
        <f t="shared" si="40"/>
        <v>154.12677263356849</v>
      </c>
      <c r="M71" s="34">
        <f t="shared" si="40"/>
        <v>153.28085066169993</v>
      </c>
      <c r="N71" s="34">
        <f t="shared" si="40"/>
        <v>155.75395917946662</v>
      </c>
      <c r="O71" s="34">
        <f t="shared" si="40"/>
        <v>153.19894851377438</v>
      </c>
      <c r="P71" s="34">
        <f t="shared" si="40"/>
        <v>152.79032969150742</v>
      </c>
      <c r="Q71" s="34">
        <f t="shared" si="40"/>
        <v>151.95686086144104</v>
      </c>
      <c r="R71" s="34">
        <f t="shared" si="40"/>
        <v>151.13040095990095</v>
      </c>
      <c r="S71" s="34">
        <f t="shared" si="40"/>
        <v>151.11261718784067</v>
      </c>
      <c r="T71" s="34">
        <f t="shared" si="40"/>
        <v>136.92892933378263</v>
      </c>
      <c r="U71" s="34">
        <f t="shared" si="40"/>
        <v>135.84285838440556</v>
      </c>
      <c r="V71" s="34">
        <f t="shared" si="40"/>
        <v>134.94777401238406</v>
      </c>
      <c r="W71" s="34">
        <f t="shared" si="40"/>
        <v>151.07831186075299</v>
      </c>
      <c r="X71" s="32"/>
      <c r="Y71" s="32"/>
    </row>
    <row r="72" spans="1:25" x14ac:dyDescent="0.3">
      <c r="A72" s="5" t="s">
        <v>103</v>
      </c>
      <c r="B72" s="6"/>
      <c r="C72" s="6">
        <f>C68*C25</f>
        <v>147603.53757041111</v>
      </c>
      <c r="D72" s="6">
        <f t="shared" ref="D72:W72" si="41">D68*D25</f>
        <v>167576.56308750217</v>
      </c>
      <c r="E72" s="6">
        <f t="shared" si="41"/>
        <v>248150.24843819957</v>
      </c>
      <c r="F72" s="6">
        <f t="shared" si="41"/>
        <v>229082.31214683203</v>
      </c>
      <c r="G72" s="6">
        <f t="shared" si="41"/>
        <v>238909.62457640859</v>
      </c>
      <c r="H72" s="6">
        <f t="shared" si="41"/>
        <v>242201.06277352394</v>
      </c>
      <c r="I72" s="6">
        <f t="shared" si="41"/>
        <v>243652.30595731575</v>
      </c>
      <c r="J72" s="6">
        <f t="shared" si="41"/>
        <v>255086.18691419961</v>
      </c>
      <c r="K72" s="6">
        <f t="shared" si="41"/>
        <v>256927.6943673807</v>
      </c>
      <c r="L72" s="6">
        <f t="shared" si="41"/>
        <v>258220.66601456015</v>
      </c>
      <c r="M72" s="6">
        <f t="shared" si="41"/>
        <v>257570.08390226</v>
      </c>
      <c r="N72" s="6">
        <f t="shared" si="41"/>
        <v>261964.2677586207</v>
      </c>
      <c r="O72" s="6">
        <f t="shared" si="41"/>
        <v>263835.70367631316</v>
      </c>
      <c r="P72" s="6">
        <f t="shared" si="41"/>
        <v>266304.36464107304</v>
      </c>
      <c r="Q72" s="6">
        <f t="shared" si="41"/>
        <v>267927.65235915495</v>
      </c>
      <c r="R72" s="6">
        <f t="shared" si="41"/>
        <v>269552.03826669155</v>
      </c>
      <c r="S72" s="6">
        <f t="shared" si="41"/>
        <v>272744.32804761903</v>
      </c>
      <c r="T72" s="6">
        <f t="shared" si="41"/>
        <v>259187.50188111872</v>
      </c>
      <c r="U72" s="6">
        <f t="shared" si="41"/>
        <v>263313.86159403168</v>
      </c>
      <c r="V72" s="6">
        <f t="shared" si="41"/>
        <v>249357.55590183046</v>
      </c>
      <c r="W72" s="27">
        <f t="shared" si="41"/>
        <v>279678.59902000002</v>
      </c>
    </row>
    <row r="73" spans="1:25" x14ac:dyDescent="0.3">
      <c r="A73" s="8"/>
      <c r="C73">
        <v>100</v>
      </c>
      <c r="D73" s="20">
        <f>(D72/C72)*C73</f>
        <v>113.53153579233381</v>
      </c>
      <c r="E73" s="20">
        <f t="shared" ref="E73:W73" si="42">(E72/D72)*D73</f>
        <v>168.11944518594265</v>
      </c>
      <c r="F73" s="20">
        <f t="shared" si="42"/>
        <v>155.20109877959612</v>
      </c>
      <c r="G73" s="20">
        <f t="shared" si="42"/>
        <v>161.85900995932559</v>
      </c>
      <c r="H73" s="20">
        <f t="shared" si="42"/>
        <v>164.08892819251511</v>
      </c>
      <c r="I73" s="20">
        <f t="shared" si="42"/>
        <v>165.07213171709157</v>
      </c>
      <c r="J73" s="20">
        <f t="shared" si="42"/>
        <v>172.8184778718574</v>
      </c>
      <c r="K73" s="20">
        <f t="shared" si="42"/>
        <v>174.06608174605492</v>
      </c>
      <c r="L73" s="20">
        <f t="shared" si="42"/>
        <v>174.94205780222677</v>
      </c>
      <c r="M73" s="20">
        <f t="shared" si="42"/>
        <v>174.50129457730083</v>
      </c>
      <c r="N73" s="20">
        <f t="shared" si="42"/>
        <v>177.47831255985733</v>
      </c>
      <c r="O73" s="20">
        <f t="shared" si="42"/>
        <v>178.74619268556214</v>
      </c>
      <c r="P73" s="20">
        <f t="shared" si="42"/>
        <v>180.41868712939095</v>
      </c>
      <c r="Q73" s="20">
        <f t="shared" si="42"/>
        <v>181.51844919797114</v>
      </c>
      <c r="R73" s="20">
        <f t="shared" si="42"/>
        <v>182.61895527951523</v>
      </c>
      <c r="S73" s="20">
        <f t="shared" si="42"/>
        <v>184.78170139893305</v>
      </c>
      <c r="T73" s="20">
        <f t="shared" si="42"/>
        <v>175.59707995309992</v>
      </c>
      <c r="U73" s="20">
        <f t="shared" si="42"/>
        <v>178.39264961276649</v>
      </c>
      <c r="V73" s="20">
        <f t="shared" si="42"/>
        <v>168.93738456836084</v>
      </c>
      <c r="W73" s="37">
        <f t="shared" si="42"/>
        <v>189.47960436692463</v>
      </c>
    </row>
    <row r="74" spans="1:25" x14ac:dyDescent="0.3">
      <c r="A74" s="8"/>
      <c r="C74">
        <f>C72/C13</f>
        <v>0.43361281762379733</v>
      </c>
      <c r="D74">
        <f t="shared" ref="D74:W74" si="43">D72/D13</f>
        <v>0.48025839878342985</v>
      </c>
      <c r="E74">
        <f t="shared" si="43"/>
        <v>0.69910734220643178</v>
      </c>
      <c r="F74" s="44">
        <f>F72/F13</f>
        <v>0.61353335765203476</v>
      </c>
      <c r="G74">
        <f t="shared" si="43"/>
        <v>0.61596712372836815</v>
      </c>
      <c r="H74">
        <f t="shared" si="43"/>
        <v>0.58577804569030312</v>
      </c>
      <c r="I74">
        <f t="shared" si="43"/>
        <v>0.56757570933437329</v>
      </c>
      <c r="J74">
        <f t="shared" si="43"/>
        <v>0.57201779364131045</v>
      </c>
      <c r="K74">
        <f t="shared" si="43"/>
        <v>0.5531714999200813</v>
      </c>
      <c r="L74">
        <f t="shared" si="43"/>
        <v>0.54080004778128499</v>
      </c>
      <c r="M74">
        <f t="shared" si="43"/>
        <v>0.53191572597016712</v>
      </c>
      <c r="N74">
        <f t="shared" si="43"/>
        <v>0.53866644957768695</v>
      </c>
      <c r="O74">
        <f t="shared" si="43"/>
        <v>0.52688950332968509</v>
      </c>
      <c r="P74">
        <f t="shared" si="43"/>
        <v>0.51532074880135814</v>
      </c>
      <c r="Q74">
        <f t="shared" si="43"/>
        <v>0.50182833278545902</v>
      </c>
      <c r="R74">
        <f t="shared" si="43"/>
        <v>0.4890462776460851</v>
      </c>
      <c r="S74">
        <f t="shared" si="43"/>
        <v>0.48206611035278435</v>
      </c>
      <c r="T74">
        <f t="shared" si="43"/>
        <v>0.43358995649022569</v>
      </c>
      <c r="U74">
        <f t="shared" si="43"/>
        <v>0.41992013739425871</v>
      </c>
      <c r="V74">
        <f t="shared" si="43"/>
        <v>0.38063579730644481</v>
      </c>
      <c r="W74" s="28">
        <f t="shared" si="43"/>
        <v>0.40952387781578364</v>
      </c>
    </row>
    <row r="75" spans="1:25" x14ac:dyDescent="0.3">
      <c r="A75" s="21" t="s">
        <v>104</v>
      </c>
      <c r="B75" s="22"/>
      <c r="C75" s="30">
        <v>100</v>
      </c>
      <c r="D75" s="38">
        <f>(D74/C74)*C75</f>
        <v>110.75742673273608</v>
      </c>
      <c r="E75" s="38">
        <f t="shared" ref="E75:W75" si="44">(E74/D74)*D75</f>
        <v>161.22847706337353</v>
      </c>
      <c r="F75" s="38">
        <f t="shared" si="44"/>
        <v>141.49336290707546</v>
      </c>
      <c r="G75" s="38">
        <f t="shared" si="44"/>
        <v>142.05463922950304</v>
      </c>
      <c r="H75" s="38">
        <f t="shared" si="44"/>
        <v>135.09241929248606</v>
      </c>
      <c r="I75" s="38">
        <f t="shared" si="44"/>
        <v>130.8945875826951</v>
      </c>
      <c r="J75" s="38">
        <f t="shared" si="44"/>
        <v>131.91902323736042</v>
      </c>
      <c r="K75" s="38">
        <f t="shared" si="44"/>
        <v>127.57268176514403</v>
      </c>
      <c r="L75" s="38">
        <f t="shared" si="44"/>
        <v>124.71957142431231</v>
      </c>
      <c r="M75" s="38">
        <f t="shared" si="44"/>
        <v>122.67066478455844</v>
      </c>
      <c r="N75" s="38">
        <f t="shared" si="44"/>
        <v>124.2275199634514</v>
      </c>
      <c r="O75" s="38">
        <f t="shared" si="44"/>
        <v>121.51151486181726</v>
      </c>
      <c r="P75" s="38">
        <f t="shared" si="44"/>
        <v>118.84352303636251</v>
      </c>
      <c r="Q75" s="38">
        <f t="shared" si="44"/>
        <v>115.73189545813784</v>
      </c>
      <c r="R75" s="38">
        <f t="shared" si="44"/>
        <v>112.78409165256315</v>
      </c>
      <c r="S75" s="38">
        <f t="shared" si="44"/>
        <v>111.17432205867703</v>
      </c>
      <c r="T75" s="38">
        <f t="shared" si="44"/>
        <v>99.994727754198564</v>
      </c>
      <c r="U75" s="38">
        <f t="shared" si="44"/>
        <v>96.842187390913693</v>
      </c>
      <c r="V75" s="38">
        <f t="shared" si="44"/>
        <v>87.782413673178027</v>
      </c>
      <c r="W75" s="39">
        <f t="shared" si="44"/>
        <v>94.44459692404358</v>
      </c>
    </row>
    <row r="76" spans="1:25" x14ac:dyDescent="0.3">
      <c r="A76" s="26" t="s">
        <v>105</v>
      </c>
    </row>
    <row r="77" spans="1:25" x14ac:dyDescent="0.3">
      <c r="A77" s="32" t="s">
        <v>106</v>
      </c>
      <c r="B77" s="32"/>
      <c r="C77" s="32">
        <v>2262705.2439999999</v>
      </c>
      <c r="D77" s="32">
        <v>2353083.1433600001</v>
      </c>
      <c r="E77" s="32">
        <v>2425876.9980000001</v>
      </c>
      <c r="F77" s="32">
        <v>2569430.6052100002</v>
      </c>
      <c r="G77" s="32">
        <v>2677901.1946700001</v>
      </c>
      <c r="H77" s="32">
        <v>3067203.23386</v>
      </c>
      <c r="I77" s="32">
        <v>3236344.4180000001</v>
      </c>
      <c r="J77" s="32">
        <v>3343015.4950000001</v>
      </c>
      <c r="K77" s="32">
        <v>3400758.1773100002</v>
      </c>
      <c r="L77" s="32">
        <v>3539142.355</v>
      </c>
      <c r="M77" s="32">
        <v>3703140.7063699998</v>
      </c>
      <c r="N77" s="32">
        <v>3725451.8110000002</v>
      </c>
      <c r="O77" s="32">
        <v>3974883.4619999998</v>
      </c>
      <c r="P77" s="32">
        <v>4071313.8620000002</v>
      </c>
      <c r="Q77" s="32">
        <v>4153075.9160000002</v>
      </c>
      <c r="R77" s="32">
        <v>4238045.9009999996</v>
      </c>
      <c r="S77" s="32">
        <v>4327094.6529999999</v>
      </c>
      <c r="T77" s="32">
        <v>4027787.3727000002</v>
      </c>
      <c r="U77" s="32">
        <v>4438226.4675900014</v>
      </c>
      <c r="V77" s="32">
        <v>4596331.5162800001</v>
      </c>
      <c r="W77" s="33">
        <v>5047179.2479999997</v>
      </c>
      <c r="X77" s="32">
        <v>5322335.3661499992</v>
      </c>
      <c r="Y77" s="32">
        <v>5422061.9110000003</v>
      </c>
    </row>
    <row r="78" spans="1:25" x14ac:dyDescent="0.3">
      <c r="A78" s="32"/>
      <c r="B78" s="32"/>
      <c r="C78" s="32">
        <v>100</v>
      </c>
      <c r="D78" s="32">
        <f>(D77/C77)*C78</f>
        <v>103.99424094674525</v>
      </c>
      <c r="E78" s="32">
        <f t="shared" ref="E78:W78" si="45">(E77/D77)*D78</f>
        <v>107.21135704408171</v>
      </c>
      <c r="F78" s="32">
        <f t="shared" si="45"/>
        <v>113.55569232993743</v>
      </c>
      <c r="G78" s="32">
        <f t="shared" si="45"/>
        <v>118.34953765060528</v>
      </c>
      <c r="H78" s="32">
        <f t="shared" si="45"/>
        <v>135.55469683880753</v>
      </c>
      <c r="I78" s="32">
        <f t="shared" si="45"/>
        <v>143.02987216659318</v>
      </c>
      <c r="J78" s="32">
        <f t="shared" si="45"/>
        <v>147.74418823948244</v>
      </c>
      <c r="K78" s="32">
        <f t="shared" si="45"/>
        <v>150.29611949359148</v>
      </c>
      <c r="L78" s="32">
        <f t="shared" si="45"/>
        <v>156.41199243183439</v>
      </c>
      <c r="M78" s="32">
        <f t="shared" si="45"/>
        <v>163.65988085233784</v>
      </c>
      <c r="N78" s="32">
        <f t="shared" si="45"/>
        <v>164.64591757493625</v>
      </c>
      <c r="O78" s="32">
        <f t="shared" si="45"/>
        <v>175.66952092147977</v>
      </c>
      <c r="P78" s="32">
        <f t="shared" si="45"/>
        <v>179.93125144319507</v>
      </c>
      <c r="Q78" s="32">
        <f t="shared" si="45"/>
        <v>183.5447160876426</v>
      </c>
      <c r="R78" s="32">
        <f t="shared" si="45"/>
        <v>187.29995487649123</v>
      </c>
      <c r="S78" s="32">
        <f t="shared" si="45"/>
        <v>191.23545430736633</v>
      </c>
      <c r="T78" s="32">
        <f t="shared" si="45"/>
        <v>178.00760321656824</v>
      </c>
      <c r="U78" s="32">
        <f t="shared" si="45"/>
        <v>196.14691216891012</v>
      </c>
      <c r="V78" s="32">
        <f t="shared" si="45"/>
        <v>203.1343467501153</v>
      </c>
      <c r="W78" s="32">
        <f t="shared" si="45"/>
        <v>223.05951079503495</v>
      </c>
      <c r="X78" s="32"/>
      <c r="Y78" s="32"/>
    </row>
    <row r="79" spans="1:25" x14ac:dyDescent="0.3">
      <c r="A79" s="32"/>
      <c r="B79" s="32"/>
      <c r="C79" s="32">
        <f t="shared" ref="C79:W79" si="46">C77/C7</f>
        <v>3.7240904892476125</v>
      </c>
      <c r="D79" s="32">
        <f t="shared" si="46"/>
        <v>3.8521077690323091</v>
      </c>
      <c r="E79" s="32">
        <f t="shared" si="46"/>
        <v>3.9180067833729839</v>
      </c>
      <c r="F79" s="32">
        <f t="shared" si="46"/>
        <v>4.0857312856845276</v>
      </c>
      <c r="G79" s="32">
        <f t="shared" si="46"/>
        <v>4.1536458888866488</v>
      </c>
      <c r="H79" s="32">
        <f t="shared" si="46"/>
        <v>4.6548028917355788</v>
      </c>
      <c r="I79" s="32">
        <f t="shared" si="46"/>
        <v>4.8182974848067079</v>
      </c>
      <c r="J79" s="32">
        <f t="shared" si="46"/>
        <v>4.8852711802485738</v>
      </c>
      <c r="K79" s="32">
        <f t="shared" si="46"/>
        <v>4.8857817768069056</v>
      </c>
      <c r="L79" s="32">
        <f t="shared" si="46"/>
        <v>4.9836967643182231</v>
      </c>
      <c r="M79" s="32">
        <f t="shared" si="46"/>
        <v>5.1478697642190072</v>
      </c>
      <c r="N79" s="32">
        <f t="shared" si="46"/>
        <v>5.1013251032807476</v>
      </c>
      <c r="O79" s="32">
        <f t="shared" si="46"/>
        <v>5.326905294898082</v>
      </c>
      <c r="P79" s="32">
        <f t="shared" si="46"/>
        <v>5.3428895074317007</v>
      </c>
      <c r="Q79" s="32">
        <f t="shared" si="46"/>
        <v>5.3153656643637675</v>
      </c>
      <c r="R79" s="32">
        <f t="shared" si="46"/>
        <v>5.3174246039264199</v>
      </c>
      <c r="S79" s="32">
        <f t="shared" si="46"/>
        <v>5.2908881246797961</v>
      </c>
      <c r="T79" s="32">
        <f t="shared" si="46"/>
        <v>4.7660200480413675</v>
      </c>
      <c r="U79" s="32">
        <f t="shared" si="46"/>
        <v>5.075031237167277</v>
      </c>
      <c r="V79" s="32">
        <f t="shared" si="46"/>
        <v>5.1586791280261286</v>
      </c>
      <c r="W79" s="32">
        <f t="shared" si="46"/>
        <v>5.7280235876786607</v>
      </c>
      <c r="X79" s="32"/>
      <c r="Y79" s="32"/>
    </row>
    <row r="80" spans="1:25" x14ac:dyDescent="0.3">
      <c r="A80" s="32" t="s">
        <v>107</v>
      </c>
      <c r="B80" s="32"/>
      <c r="C80" s="32">
        <v>100</v>
      </c>
      <c r="D80" s="34">
        <f>(D79/C79)*C80</f>
        <v>103.43754482213348</v>
      </c>
      <c r="E80" s="34">
        <f t="shared" ref="E80:W80" si="47">(E79/D79)*D80</f>
        <v>105.2070779344717</v>
      </c>
      <c r="F80" s="34">
        <f t="shared" si="47"/>
        <v>109.71084879599631</v>
      </c>
      <c r="G80" s="34">
        <f t="shared" si="47"/>
        <v>111.53450489130891</v>
      </c>
      <c r="H80" s="34">
        <f t="shared" si="47"/>
        <v>124.99166991712922</v>
      </c>
      <c r="I80" s="34">
        <f t="shared" si="47"/>
        <v>129.38185843545816</v>
      </c>
      <c r="J80" s="34">
        <f t="shared" si="47"/>
        <v>131.18024909312976</v>
      </c>
      <c r="K80" s="34">
        <f t="shared" si="47"/>
        <v>131.19395973092992</v>
      </c>
      <c r="L80" s="34">
        <f t="shared" si="47"/>
        <v>133.82319196344474</v>
      </c>
      <c r="M80" s="34">
        <f t="shared" si="47"/>
        <v>138.23159719352154</v>
      </c>
      <c r="N80" s="34">
        <f t="shared" si="47"/>
        <v>136.98177093197808</v>
      </c>
      <c r="O80" s="34">
        <f t="shared" si="47"/>
        <v>143.03909398222729</v>
      </c>
      <c r="P80" s="34">
        <f t="shared" si="47"/>
        <v>143.46830515686895</v>
      </c>
      <c r="Q80" s="34">
        <f t="shared" si="47"/>
        <v>142.72922958533272</v>
      </c>
      <c r="R80" s="34">
        <f t="shared" si="47"/>
        <v>142.78451662974254</v>
      </c>
      <c r="S80" s="34">
        <f t="shared" si="47"/>
        <v>142.07195394300757</v>
      </c>
      <c r="T80" s="34">
        <f t="shared" si="47"/>
        <v>127.97809456569505</v>
      </c>
      <c r="U80" s="34">
        <f t="shared" si="47"/>
        <v>136.27572294014251</v>
      </c>
      <c r="V80" s="34">
        <f t="shared" si="47"/>
        <v>138.52185232664274</v>
      </c>
      <c r="W80" s="34">
        <f t="shared" si="47"/>
        <v>153.81000016559491</v>
      </c>
      <c r="X80" s="32"/>
      <c r="Y80" s="32"/>
    </row>
    <row r="81" spans="1:25" x14ac:dyDescent="0.3">
      <c r="A81" s="5" t="s">
        <v>108</v>
      </c>
      <c r="B81" s="6"/>
      <c r="C81" s="6">
        <f>C77*C25</f>
        <v>3619536.7404333376</v>
      </c>
      <c r="D81" s="6">
        <f t="shared" ref="D81:W81" si="48">D77*D25</f>
        <v>3686717.709129204</v>
      </c>
      <c r="E81" s="6">
        <f t="shared" si="48"/>
        <v>3698032.5468440107</v>
      </c>
      <c r="F81" s="6">
        <f t="shared" si="48"/>
        <v>3848134.1375641585</v>
      </c>
      <c r="G81" s="6">
        <f t="shared" si="48"/>
        <v>3938705.3187230406</v>
      </c>
      <c r="H81" s="6">
        <f t="shared" si="48"/>
        <v>4317354.1286284467</v>
      </c>
      <c r="I81" s="6">
        <f t="shared" si="48"/>
        <v>4557940.730388999</v>
      </c>
      <c r="J81" s="6">
        <f t="shared" si="48"/>
        <v>4607308.0382161699</v>
      </c>
      <c r="K81" s="6">
        <f t="shared" si="48"/>
        <v>4527036.1012709392</v>
      </c>
      <c r="L81" s="6">
        <f t="shared" si="48"/>
        <v>4581203.2789393328</v>
      </c>
      <c r="M81" s="6">
        <f t="shared" si="48"/>
        <v>4740760.7322948733</v>
      </c>
      <c r="N81" s="6">
        <f t="shared" si="48"/>
        <v>4753162.6554137934</v>
      </c>
      <c r="O81" s="6">
        <f t="shared" si="48"/>
        <v>5043256.4995563924</v>
      </c>
      <c r="P81" s="6">
        <f t="shared" si="48"/>
        <v>5065697.352641074</v>
      </c>
      <c r="Q81" s="6">
        <f t="shared" si="48"/>
        <v>5059733.3342816914</v>
      </c>
      <c r="R81" s="6">
        <f t="shared" si="48"/>
        <v>5059256.212663372</v>
      </c>
      <c r="S81" s="6">
        <f t="shared" si="48"/>
        <v>5092431.1222380949</v>
      </c>
      <c r="T81" s="6">
        <f t="shared" si="48"/>
        <v>4705149.552450534</v>
      </c>
      <c r="U81" s="6">
        <f t="shared" si="48"/>
        <v>5061301.9096817384</v>
      </c>
      <c r="V81" s="6">
        <f t="shared" si="48"/>
        <v>4782755.1061868295</v>
      </c>
      <c r="W81" s="27">
        <f t="shared" si="48"/>
        <v>5047179.2479999997</v>
      </c>
    </row>
    <row r="82" spans="1:25" x14ac:dyDescent="0.3">
      <c r="A82" s="8"/>
      <c r="C82">
        <v>100</v>
      </c>
      <c r="D82" s="20">
        <f>(D81/C81)*C82</f>
        <v>101.85606538940183</v>
      </c>
      <c r="E82" s="20">
        <f t="shared" ref="E82:W82" si="49">(E81/D81)*D82</f>
        <v>102.16866997187257</v>
      </c>
      <c r="F82" s="20">
        <f t="shared" si="49"/>
        <v>106.3156534530287</v>
      </c>
      <c r="G82" s="20">
        <f t="shared" si="49"/>
        <v>108.81794000663996</v>
      </c>
      <c r="H82" s="20">
        <f t="shared" si="49"/>
        <v>119.27919063232288</v>
      </c>
      <c r="I82" s="20">
        <f t="shared" si="49"/>
        <v>125.92607997241421</v>
      </c>
      <c r="J82" s="20">
        <f t="shared" si="49"/>
        <v>127.28999230063278</v>
      </c>
      <c r="K82" s="20">
        <f t="shared" si="49"/>
        <v>125.0722516696696</v>
      </c>
      <c r="L82" s="20">
        <f t="shared" si="49"/>
        <v>126.56877405783324</v>
      </c>
      <c r="M82" s="20">
        <f t="shared" si="49"/>
        <v>130.97700264612595</v>
      </c>
      <c r="N82" s="20">
        <f t="shared" si="49"/>
        <v>131.31964105563236</v>
      </c>
      <c r="O82" s="20">
        <f t="shared" si="49"/>
        <v>139.3343088141331</v>
      </c>
      <c r="P82" s="20">
        <f t="shared" si="49"/>
        <v>139.95430122459817</v>
      </c>
      <c r="Q82" s="20">
        <f t="shared" si="49"/>
        <v>139.78952824984813</v>
      </c>
      <c r="R82" s="20">
        <f t="shared" si="49"/>
        <v>139.77634640773587</v>
      </c>
      <c r="S82" s="20">
        <f t="shared" si="49"/>
        <v>140.69289766702079</v>
      </c>
      <c r="T82" s="20">
        <f t="shared" si="49"/>
        <v>129.99314248947852</v>
      </c>
      <c r="U82" s="20">
        <f t="shared" si="49"/>
        <v>139.83286460785561</v>
      </c>
      <c r="V82" s="20">
        <f t="shared" si="49"/>
        <v>132.13721669846154</v>
      </c>
      <c r="W82" s="37">
        <f t="shared" si="49"/>
        <v>139.44268590006752</v>
      </c>
    </row>
    <row r="83" spans="1:25" x14ac:dyDescent="0.3">
      <c r="A83" s="8"/>
      <c r="C83">
        <f>C81/C7</f>
        <v>5.957241839728594</v>
      </c>
      <c r="D83">
        <f t="shared" ref="D83:W83" si="50">D81/D7</f>
        <v>6.0353302728125842</v>
      </c>
      <c r="E83">
        <f t="shared" si="50"/>
        <v>5.9726509693666276</v>
      </c>
      <c r="F83">
        <f t="shared" si="50"/>
        <v>6.119037426220558</v>
      </c>
      <c r="G83">
        <f t="shared" si="50"/>
        <v>6.109257200083511</v>
      </c>
      <c r="H83">
        <f t="shared" si="50"/>
        <v>6.5520381110499049</v>
      </c>
      <c r="I83">
        <f t="shared" si="50"/>
        <v>6.785901474201923</v>
      </c>
      <c r="J83">
        <f t="shared" si="50"/>
        <v>6.732828253799358</v>
      </c>
      <c r="K83">
        <f t="shared" si="50"/>
        <v>6.5038762926777585</v>
      </c>
      <c r="L83">
        <f t="shared" si="50"/>
        <v>6.4510905942165717</v>
      </c>
      <c r="M83">
        <f t="shared" si="50"/>
        <v>6.5903028721531722</v>
      </c>
      <c r="N83">
        <f t="shared" si="50"/>
        <v>6.5085872007375052</v>
      </c>
      <c r="O83">
        <f t="shared" si="50"/>
        <v>6.758676073863751</v>
      </c>
      <c r="P83">
        <f t="shared" si="50"/>
        <v>6.6478444430110448</v>
      </c>
      <c r="Q83">
        <f t="shared" si="50"/>
        <v>6.4757623939079716</v>
      </c>
      <c r="R83">
        <f t="shared" si="50"/>
        <v>6.3477871857017938</v>
      </c>
      <c r="S83">
        <f t="shared" si="50"/>
        <v>6.2266914664598962</v>
      </c>
      <c r="T83">
        <f t="shared" si="50"/>
        <v>5.5675324988617199</v>
      </c>
      <c r="U83">
        <f t="shared" si="50"/>
        <v>5.7875066718524391</v>
      </c>
      <c r="V83">
        <f t="shared" si="50"/>
        <v>5.3679110946102977</v>
      </c>
      <c r="W83" s="28">
        <f t="shared" si="50"/>
        <v>5.7280235876786607</v>
      </c>
    </row>
    <row r="84" spans="1:25" x14ac:dyDescent="0.3">
      <c r="A84" s="21" t="s">
        <v>109</v>
      </c>
      <c r="B84" s="22"/>
      <c r="C84" s="30">
        <v>100</v>
      </c>
      <c r="D84" s="38">
        <f>(D83/C83)*C84</f>
        <v>101.31081522598633</v>
      </c>
      <c r="E84" s="38">
        <f t="shared" ref="E84:W84" si="51">(E83/D83)*D84</f>
        <v>100.25866214688938</v>
      </c>
      <c r="F84" s="38">
        <f t="shared" si="51"/>
        <v>102.71594793101997</v>
      </c>
      <c r="G84" s="38">
        <f t="shared" si="51"/>
        <v>102.55177420095879</v>
      </c>
      <c r="H84" s="38">
        <f t="shared" si="51"/>
        <v>109.98442378744204</v>
      </c>
      <c r="I84" s="38">
        <f t="shared" si="51"/>
        <v>113.9101224487318</v>
      </c>
      <c r="J84" s="38">
        <f t="shared" si="51"/>
        <v>113.01921988290641</v>
      </c>
      <c r="K84" s="38">
        <f t="shared" si="51"/>
        <v>109.17596544937429</v>
      </c>
      <c r="L84" s="38">
        <f t="shared" si="51"/>
        <v>108.28988931076327</v>
      </c>
      <c r="M84" s="38">
        <f t="shared" si="51"/>
        <v>110.62674723397532</v>
      </c>
      <c r="N84" s="38">
        <f t="shared" si="51"/>
        <v>109.25504412683085</v>
      </c>
      <c r="O84" s="38">
        <f t="shared" si="51"/>
        <v>113.45310893357437</v>
      </c>
      <c r="P84" s="38">
        <f t="shared" si="51"/>
        <v>111.59265683452453</v>
      </c>
      <c r="Q84" s="38">
        <f t="shared" si="51"/>
        <v>108.7040373402568</v>
      </c>
      <c r="R84" s="38">
        <f t="shared" si="51"/>
        <v>106.55580814880923</v>
      </c>
      <c r="S84" s="38">
        <f t="shared" si="51"/>
        <v>104.52306006673012</v>
      </c>
      <c r="T84" s="38">
        <f t="shared" si="51"/>
        <v>93.458225276873634</v>
      </c>
      <c r="U84" s="38">
        <f t="shared" si="51"/>
        <v>97.150775938888415</v>
      </c>
      <c r="V84" s="38">
        <f t="shared" si="51"/>
        <v>90.107322130384688</v>
      </c>
      <c r="W84" s="39">
        <f t="shared" si="51"/>
        <v>96.152275529234274</v>
      </c>
    </row>
    <row r="86" spans="1:25" x14ac:dyDescent="0.3">
      <c r="A86" s="26" t="s">
        <v>110</v>
      </c>
    </row>
    <row r="87" spans="1:25" x14ac:dyDescent="0.3">
      <c r="A87" t="s">
        <v>111</v>
      </c>
      <c r="C87">
        <v>1959123.6429999999</v>
      </c>
      <c r="D87">
        <v>2023327.2743299999</v>
      </c>
      <c r="E87">
        <v>2109255.0359999998</v>
      </c>
      <c r="F87">
        <v>2197450.8771700002</v>
      </c>
      <c r="G87">
        <v>2310721.59032</v>
      </c>
      <c r="H87">
        <v>2537188.9114100002</v>
      </c>
      <c r="I87">
        <v>2693690.83776</v>
      </c>
      <c r="J87">
        <v>2805402.7590000001</v>
      </c>
      <c r="K87">
        <v>2952058.8049400002</v>
      </c>
      <c r="L87">
        <v>3096521.2719999999</v>
      </c>
      <c r="M87">
        <v>3214069.8944100002</v>
      </c>
      <c r="N87">
        <v>3288618</v>
      </c>
      <c r="O87">
        <v>3355579</v>
      </c>
      <c r="P87">
        <v>3505803</v>
      </c>
      <c r="Q87">
        <v>3664338</v>
      </c>
      <c r="R87">
        <v>3802437.7110000001</v>
      </c>
      <c r="S87">
        <v>3913949.6630000002</v>
      </c>
      <c r="T87">
        <v>4020124.36057</v>
      </c>
      <c r="U87">
        <v>4190465.5160200009</v>
      </c>
      <c r="V87">
        <v>4698858.4030100014</v>
      </c>
      <c r="W87" s="3">
        <v>5211187.6452600006</v>
      </c>
      <c r="X87">
        <v>5597803</v>
      </c>
      <c r="Y87">
        <v>5833430.2409999995</v>
      </c>
    </row>
    <row r="88" spans="1:25" x14ac:dyDescent="0.3">
      <c r="S88">
        <v>100</v>
      </c>
      <c r="T88">
        <f>(T87/S87)*S88</f>
        <v>102.71272516797312</v>
      </c>
      <c r="U88">
        <f t="shared" ref="U88:X88" si="52">(U87/T87)*T88</f>
        <v>107.06488015505172</v>
      </c>
      <c r="V88">
        <f t="shared" si="52"/>
        <v>120.05413476391971</v>
      </c>
      <c r="W88">
        <f t="shared" si="52"/>
        <v>133.14396182769713</v>
      </c>
      <c r="X88">
        <f t="shared" si="52"/>
        <v>143.02184447894365</v>
      </c>
    </row>
    <row r="89" spans="1:25" x14ac:dyDescent="0.3">
      <c r="S89">
        <f t="shared" ref="S89:X89" si="53">S87/S15</f>
        <v>6.131497823243282</v>
      </c>
      <c r="T89">
        <f t="shared" si="53"/>
        <v>6.249901840041665</v>
      </c>
      <c r="U89">
        <f t="shared" si="53"/>
        <v>6.4859553896635589</v>
      </c>
      <c r="V89">
        <f t="shared" si="53"/>
        <v>7.1756810581814259</v>
      </c>
      <c r="W89">
        <f t="shared" si="53"/>
        <v>7.8417377984335159</v>
      </c>
      <c r="X89">
        <f t="shared" si="53"/>
        <v>8.2695925922643045</v>
      </c>
    </row>
    <row r="90" spans="1:25" x14ac:dyDescent="0.3">
      <c r="A90" t="s">
        <v>112</v>
      </c>
      <c r="S90" s="4">
        <v>100</v>
      </c>
      <c r="T90" s="4">
        <f>(T89/S89)*S90</f>
        <v>101.93107818369498</v>
      </c>
      <c r="U90" s="4">
        <f t="shared" ref="U90:X90" si="54">(U89/T89)*T90</f>
        <v>105.78092949942182</v>
      </c>
      <c r="V90" s="4">
        <f t="shared" si="54"/>
        <v>117.0298231368501</v>
      </c>
      <c r="W90" s="4">
        <f t="shared" si="54"/>
        <v>127.89269481116109</v>
      </c>
      <c r="X90" s="4">
        <f t="shared" si="54"/>
        <v>134.87067647510096</v>
      </c>
    </row>
    <row r="91" spans="1:25" x14ac:dyDescent="0.3">
      <c r="A91" s="5" t="s">
        <v>113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>
        <f>S87*S25</f>
        <v>4606212.8687006803</v>
      </c>
      <c r="T91" s="6">
        <f t="shared" ref="T91:W91" si="55">T87*T25</f>
        <v>4696197.8341105161</v>
      </c>
      <c r="U91" s="6">
        <f t="shared" si="55"/>
        <v>4778758.1984756859</v>
      </c>
      <c r="V91" s="6">
        <f t="shared" si="55"/>
        <v>4889440.4027744485</v>
      </c>
      <c r="W91" s="27">
        <f t="shared" si="55"/>
        <v>5211187.6452600006</v>
      </c>
    </row>
    <row r="92" spans="1:25" x14ac:dyDescent="0.3">
      <c r="A92" s="8"/>
      <c r="S92">
        <v>100</v>
      </c>
      <c r="T92">
        <f>(T91/S91)*S92</f>
        <v>101.95355638080224</v>
      </c>
      <c r="U92">
        <f t="shared" ref="U92:W92" si="56">(U91/T91)*T92</f>
        <v>103.745926093591</v>
      </c>
      <c r="V92">
        <f t="shared" si="56"/>
        <v>106.14881557034207</v>
      </c>
      <c r="W92" s="28">
        <f t="shared" si="56"/>
        <v>113.13388663971951</v>
      </c>
    </row>
    <row r="93" spans="1:25" x14ac:dyDescent="0.3">
      <c r="A93" s="8"/>
      <c r="S93">
        <f>S91/S15</f>
        <v>7.2159804314359706</v>
      </c>
      <c r="T93">
        <f t="shared" ref="T93:W93" si="57">T91/T15</f>
        <v>7.3009620728363354</v>
      </c>
      <c r="U93">
        <f t="shared" si="57"/>
        <v>7.3965081862170745</v>
      </c>
      <c r="V93">
        <f t="shared" si="57"/>
        <v>7.4667210360756417</v>
      </c>
      <c r="W93" s="28">
        <f t="shared" si="57"/>
        <v>7.8417377984335159</v>
      </c>
    </row>
    <row r="94" spans="1:25" x14ac:dyDescent="0.3">
      <c r="A94" s="21" t="s">
        <v>114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30">
        <v>100</v>
      </c>
      <c r="T94" s="30">
        <f>(T93/S93)*S94</f>
        <v>101.17768669424527</v>
      </c>
      <c r="U94" s="30">
        <f t="shared" ref="U94:W94" si="58">(U93/T93)*T94</f>
        <v>102.50177722204795</v>
      </c>
      <c r="V94" s="30">
        <f t="shared" si="58"/>
        <v>103.47479607271846</v>
      </c>
      <c r="W94" s="31">
        <f t="shared" si="58"/>
        <v>108.67182738289408</v>
      </c>
    </row>
    <row r="96" spans="1:25" x14ac:dyDescent="0.3">
      <c r="A96" t="s">
        <v>115</v>
      </c>
    </row>
    <row r="97" spans="1:24" x14ac:dyDescent="0.3">
      <c r="A97" s="26" t="s">
        <v>116</v>
      </c>
    </row>
    <row r="98" spans="1:24" x14ac:dyDescent="0.3">
      <c r="A98" t="s">
        <v>117</v>
      </c>
      <c r="R98">
        <v>3965520279.8699999</v>
      </c>
      <c r="S98">
        <v>4049582836.1399999</v>
      </c>
      <c r="T98">
        <v>3766758367.23</v>
      </c>
      <c r="U98">
        <v>4146678846.4200001</v>
      </c>
      <c r="V98">
        <v>4285068715.8899999</v>
      </c>
      <c r="W98" s="3">
        <v>4709113905.6499996</v>
      </c>
      <c r="X98">
        <v>4935184972.6000004</v>
      </c>
    </row>
    <row r="99" spans="1:24" x14ac:dyDescent="0.3">
      <c r="A99" t="s">
        <v>118</v>
      </c>
      <c r="R99">
        <v>93.77</v>
      </c>
      <c r="S99">
        <v>93.76</v>
      </c>
      <c r="T99">
        <v>93.65</v>
      </c>
      <c r="U99">
        <v>93.5</v>
      </c>
      <c r="V99">
        <v>93.37</v>
      </c>
      <c r="W99" s="3">
        <v>93.49</v>
      </c>
      <c r="X99">
        <v>93.06</v>
      </c>
    </row>
    <row r="100" spans="1:24" x14ac:dyDescent="0.3">
      <c r="A100" t="s">
        <v>119</v>
      </c>
      <c r="R100">
        <v>145818966.30000001</v>
      </c>
      <c r="S100">
        <v>147270407.21000001</v>
      </c>
      <c r="T100">
        <v>137964187.52000001</v>
      </c>
      <c r="U100">
        <v>160949997.21000001</v>
      </c>
      <c r="V100">
        <v>172836293.16999999</v>
      </c>
      <c r="W100" s="3">
        <v>178226298.34</v>
      </c>
      <c r="X100">
        <v>200427474.93000001</v>
      </c>
    </row>
    <row r="101" spans="1:24" x14ac:dyDescent="0.3">
      <c r="A101" t="s">
        <v>118</v>
      </c>
      <c r="R101">
        <v>3.45</v>
      </c>
      <c r="S101">
        <v>3.41</v>
      </c>
      <c r="T101">
        <v>3.43</v>
      </c>
      <c r="U101">
        <v>3.63</v>
      </c>
      <c r="V101">
        <v>3.77</v>
      </c>
      <c r="W101" s="3">
        <v>3.54</v>
      </c>
      <c r="X101">
        <v>3.78</v>
      </c>
    </row>
    <row r="102" spans="1:24" x14ac:dyDescent="0.3">
      <c r="A102" t="s">
        <v>120</v>
      </c>
      <c r="R102">
        <v>117694164.14</v>
      </c>
      <c r="S102">
        <v>122257606.17</v>
      </c>
      <c r="T102">
        <v>117325173.62</v>
      </c>
      <c r="U102">
        <v>127121074.84999999</v>
      </c>
      <c r="V102">
        <v>131541248.98</v>
      </c>
      <c r="W102" s="3">
        <v>149472809.44</v>
      </c>
      <c r="X102">
        <v>167646964.44</v>
      </c>
    </row>
    <row r="103" spans="1:24" x14ac:dyDescent="0.3">
      <c r="A103" t="s">
        <v>118</v>
      </c>
      <c r="R103">
        <v>2.78</v>
      </c>
      <c r="S103">
        <v>2.83</v>
      </c>
      <c r="T103">
        <v>2.92</v>
      </c>
      <c r="U103">
        <v>2.87</v>
      </c>
      <c r="V103">
        <v>2.87</v>
      </c>
      <c r="W103" s="3">
        <v>2.97</v>
      </c>
      <c r="X103">
        <v>3.16</v>
      </c>
    </row>
    <row r="104" spans="1:24" x14ac:dyDescent="0.3">
      <c r="A104" t="s">
        <v>121</v>
      </c>
      <c r="R104">
        <v>4229033410.3099999</v>
      </c>
      <c r="S104">
        <v>4319110849.5200005</v>
      </c>
      <c r="T104">
        <v>4022047728.3699999</v>
      </c>
      <c r="U104">
        <v>4434749918.4799995</v>
      </c>
      <c r="V104">
        <v>4589446258.04</v>
      </c>
      <c r="W104" s="3">
        <v>5036813013.4300003</v>
      </c>
      <c r="X104">
        <v>5303259411.9700003</v>
      </c>
    </row>
  </sheetData>
  <conditionalFormatting sqref="C28:Y28">
    <cfRule type="cellIs" dxfId="15" priority="1" operator="equal">
      <formula>"-"</formula>
    </cfRule>
    <cfRule type="cellIs" dxfId="14" priority="2" operator="equal">
      <formula>0</formula>
    </cfRule>
  </conditionalFormatting>
  <conditionalFormatting sqref="C68:Y68">
    <cfRule type="cellIs" dxfId="13" priority="5" operator="equal">
      <formula>"-"</formula>
    </cfRule>
    <cfRule type="cellIs" dxfId="12" priority="6" operator="equal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0C425-A177-4431-8069-A55F84FD5EB8}">
  <dimension ref="A1:AI124"/>
  <sheetViews>
    <sheetView zoomScaleNormal="70" workbookViewId="0">
      <pane ySplit="1" topLeftCell="A104" activePane="bottomLeft" state="frozen"/>
      <selection pane="bottomLeft" sqref="A1:XFD1048576"/>
    </sheetView>
  </sheetViews>
  <sheetFormatPr defaultColWidth="9.109375" defaultRowHeight="14.4" x14ac:dyDescent="0.3"/>
  <cols>
    <col min="1" max="1" width="38.33203125" style="70" bestFit="1" customWidth="1"/>
    <col min="2" max="3" width="11.88671875" style="70" bestFit="1" customWidth="1"/>
    <col min="4" max="4" width="11.6640625" style="70" bestFit="1" customWidth="1"/>
    <col min="5" max="11" width="11.88671875" style="70" bestFit="1" customWidth="1"/>
    <col min="12" max="12" width="14.33203125" style="70" bestFit="1" customWidth="1"/>
    <col min="13" max="18" width="11.88671875" style="70" bestFit="1" customWidth="1"/>
    <col min="19" max="21" width="13.6640625" style="70" bestFit="1" customWidth="1"/>
    <col min="22" max="25" width="11.6640625" style="70" bestFit="1" customWidth="1"/>
    <col min="26" max="26" width="11.6640625" style="70" customWidth="1"/>
    <col min="27" max="27" width="11.44140625" style="70" bestFit="1" customWidth="1"/>
    <col min="28" max="28" width="11.44140625" style="70" customWidth="1"/>
    <col min="29" max="30" width="9.6640625" style="70" bestFit="1" customWidth="1"/>
    <col min="31" max="32" width="9.6640625" style="70" customWidth="1"/>
    <col min="33" max="33" width="9.6640625" style="70" bestFit="1" customWidth="1"/>
    <col min="34" max="34" width="9.6640625" style="70" customWidth="1"/>
    <col min="35" max="35" width="10.5546875" style="70" bestFit="1" customWidth="1"/>
    <col min="36" max="16384" width="9.109375" style="70"/>
  </cols>
  <sheetData>
    <row r="1" spans="1:35" s="68" customFormat="1" x14ac:dyDescent="0.3">
      <c r="A1" s="68" t="s">
        <v>139</v>
      </c>
      <c r="B1" s="68">
        <v>2003</v>
      </c>
      <c r="C1" s="68">
        <v>2004</v>
      </c>
      <c r="D1" s="68">
        <v>2005</v>
      </c>
      <c r="E1" s="68">
        <v>2006</v>
      </c>
      <c r="F1" s="68">
        <v>2007</v>
      </c>
      <c r="G1" s="68">
        <v>2008</v>
      </c>
      <c r="H1" s="68">
        <v>2009</v>
      </c>
      <c r="I1" s="68">
        <v>2010</v>
      </c>
      <c r="J1" s="68">
        <v>2011</v>
      </c>
      <c r="K1" s="68">
        <v>2012</v>
      </c>
      <c r="L1" s="68">
        <v>2013</v>
      </c>
      <c r="M1" s="68">
        <v>2014</v>
      </c>
      <c r="N1" s="68">
        <v>2015</v>
      </c>
      <c r="O1" s="68">
        <v>2016</v>
      </c>
      <c r="P1" s="68">
        <v>2017</v>
      </c>
      <c r="Q1" s="68">
        <v>2018</v>
      </c>
      <c r="R1" s="68">
        <v>2019</v>
      </c>
      <c r="S1" s="68">
        <v>2020</v>
      </c>
      <c r="T1" s="68">
        <v>2021</v>
      </c>
      <c r="U1" s="68">
        <v>2022</v>
      </c>
      <c r="V1" s="68">
        <v>2023</v>
      </c>
      <c r="W1" s="68">
        <v>2024</v>
      </c>
      <c r="X1" s="68">
        <v>2025</v>
      </c>
    </row>
    <row r="2" spans="1:35" x14ac:dyDescent="0.3">
      <c r="A2" s="68" t="s">
        <v>123</v>
      </c>
      <c r="B2" s="69">
        <v>80.03</v>
      </c>
      <c r="C2" s="69">
        <v>81.709999999999994</v>
      </c>
      <c r="D2" s="69">
        <v>83.98</v>
      </c>
      <c r="E2" s="69">
        <v>85.48</v>
      </c>
      <c r="F2" s="69">
        <v>87.04</v>
      </c>
      <c r="G2" s="69">
        <v>90.95</v>
      </c>
      <c r="H2" s="69">
        <v>90.9</v>
      </c>
      <c r="I2" s="69">
        <v>92.89</v>
      </c>
      <c r="J2" s="69">
        <v>96.17</v>
      </c>
      <c r="K2" s="69">
        <v>98.9</v>
      </c>
      <c r="L2" s="69">
        <v>100</v>
      </c>
      <c r="M2" s="69">
        <v>100.34</v>
      </c>
      <c r="N2" s="69">
        <v>100.9</v>
      </c>
      <c r="O2" s="69">
        <v>102.89</v>
      </c>
      <c r="P2" s="69">
        <v>105.08</v>
      </c>
      <c r="Q2" s="69">
        <v>107.24</v>
      </c>
      <c r="R2" s="69">
        <v>108.78</v>
      </c>
      <c r="S2" s="69">
        <v>109.59</v>
      </c>
      <c r="T2" s="69">
        <v>112.26</v>
      </c>
      <c r="U2" s="69">
        <v>123.03</v>
      </c>
      <c r="V2" s="69">
        <v>128.01583333333335</v>
      </c>
      <c r="W2" s="70">
        <v>132.04</v>
      </c>
    </row>
    <row r="3" spans="1:35" x14ac:dyDescent="0.3">
      <c r="A3" s="68" t="s">
        <v>124</v>
      </c>
      <c r="B3" s="69">
        <f t="shared" ref="B3:U3" si="0">(B2/$W$2)*100</f>
        <v>60.610421084519849</v>
      </c>
      <c r="C3" s="69">
        <f t="shared" si="0"/>
        <v>61.88276279915177</v>
      </c>
      <c r="D3" s="69">
        <f t="shared" si="0"/>
        <v>63.601938806422297</v>
      </c>
      <c r="E3" s="69">
        <f t="shared" si="0"/>
        <v>64.737958194486524</v>
      </c>
      <c r="F3" s="69">
        <f t="shared" si="0"/>
        <v>65.91941835807333</v>
      </c>
      <c r="G3" s="69">
        <f t="shared" si="0"/>
        <v>68.880642229627384</v>
      </c>
      <c r="H3" s="69">
        <f t="shared" si="0"/>
        <v>68.842774916691923</v>
      </c>
      <c r="I3" s="69">
        <f t="shared" si="0"/>
        <v>70.349893971523784</v>
      </c>
      <c r="J3" s="69">
        <f t="shared" si="0"/>
        <v>72.833989700090882</v>
      </c>
      <c r="K3" s="69">
        <f t="shared" si="0"/>
        <v>74.901544986367767</v>
      </c>
      <c r="L3" s="69">
        <f t="shared" si="0"/>
        <v>75.734625870948207</v>
      </c>
      <c r="M3" s="69">
        <f t="shared" si="0"/>
        <v>75.99212359890943</v>
      </c>
      <c r="N3" s="69">
        <f t="shared" si="0"/>
        <v>76.416237503786746</v>
      </c>
      <c r="O3" s="69">
        <f t="shared" si="0"/>
        <v>77.923356558618607</v>
      </c>
      <c r="P3" s="69">
        <f t="shared" si="0"/>
        <v>79.581944865192369</v>
      </c>
      <c r="Q3" s="69">
        <f t="shared" si="0"/>
        <v>81.217812784004849</v>
      </c>
      <c r="R3" s="69">
        <f t="shared" si="0"/>
        <v>82.384126022417462</v>
      </c>
      <c r="S3" s="69">
        <f t="shared" si="0"/>
        <v>82.99757649197214</v>
      </c>
      <c r="T3" s="69">
        <f t="shared" si="0"/>
        <v>85.019691002726461</v>
      </c>
      <c r="U3" s="69">
        <f t="shared" si="0"/>
        <v>93.176310209027562</v>
      </c>
      <c r="V3" s="69">
        <f>(V2/$W$2)*100</f>
        <v>96.952312430576612</v>
      </c>
      <c r="W3" s="69">
        <f>W2/$W$2*100</f>
        <v>100</v>
      </c>
    </row>
    <row r="4" spans="1:35" x14ac:dyDescent="0.3">
      <c r="A4" s="71" t="s">
        <v>228</v>
      </c>
      <c r="B4" s="72">
        <f t="shared" ref="B4:V4" si="1">$W$3/B3</f>
        <v>1.6498812945145569</v>
      </c>
      <c r="C4" s="72">
        <f t="shared" si="1"/>
        <v>1.6159588789621835</v>
      </c>
      <c r="D4" s="72">
        <f t="shared" si="1"/>
        <v>1.5722791140747796</v>
      </c>
      <c r="E4" s="72">
        <f t="shared" si="1"/>
        <v>1.5446888160973327</v>
      </c>
      <c r="F4" s="72">
        <f t="shared" si="1"/>
        <v>1.5170036764705879</v>
      </c>
      <c r="G4" s="72">
        <f t="shared" si="1"/>
        <v>1.451786695986806</v>
      </c>
      <c r="H4" s="72">
        <f t="shared" si="1"/>
        <v>1.4525852585258523</v>
      </c>
      <c r="I4" s="72">
        <f t="shared" si="1"/>
        <v>1.4214662504037032</v>
      </c>
      <c r="J4" s="72">
        <f t="shared" si="1"/>
        <v>1.3729853384631381</v>
      </c>
      <c r="K4" s="72">
        <f t="shared" si="1"/>
        <v>1.3350859453993933</v>
      </c>
      <c r="L4" s="72">
        <f t="shared" si="1"/>
        <v>1.3203999999999998</v>
      </c>
      <c r="M4" s="72">
        <f t="shared" si="1"/>
        <v>1.3159258521028501</v>
      </c>
      <c r="N4" s="72">
        <f t="shared" si="1"/>
        <v>1.3086223984142713</v>
      </c>
      <c r="O4" s="72">
        <f t="shared" si="1"/>
        <v>1.2833122752454076</v>
      </c>
      <c r="P4" s="72">
        <f t="shared" si="1"/>
        <v>1.25656642558051</v>
      </c>
      <c r="Q4" s="72">
        <f t="shared" si="1"/>
        <v>1.2312569936590825</v>
      </c>
      <c r="R4" s="72">
        <f t="shared" si="1"/>
        <v>1.2138260709689279</v>
      </c>
      <c r="S4" s="72">
        <f t="shared" si="1"/>
        <v>1.2048544575234965</v>
      </c>
      <c r="T4" s="72">
        <f t="shared" si="1"/>
        <v>1.1761981115268125</v>
      </c>
      <c r="U4" s="72">
        <f t="shared" si="1"/>
        <v>1.0732341705275137</v>
      </c>
      <c r="V4" s="72">
        <f t="shared" si="1"/>
        <v>1.0314349136500041</v>
      </c>
      <c r="W4" s="72">
        <f>$W$3/W3</f>
        <v>1</v>
      </c>
    </row>
    <row r="5" spans="1:35" x14ac:dyDescent="0.3">
      <c r="A5" s="68" t="s">
        <v>125</v>
      </c>
    </row>
    <row r="6" spans="1:35" x14ac:dyDescent="0.3">
      <c r="A6" s="70" t="s">
        <v>226</v>
      </c>
      <c r="B6" s="70">
        <f>'Oplijsting (sub)categorieën KSZ'!C17</f>
        <v>719122</v>
      </c>
      <c r="C6" s="70">
        <f>'Oplijsting (sub)categorieën KSZ'!D17</f>
        <v>717465</v>
      </c>
      <c r="D6" s="70">
        <f>'Oplijsting (sub)categorieën KSZ'!E17</f>
        <v>719042</v>
      </c>
      <c r="E6" s="70">
        <f>'Oplijsting (sub)categorieën KSZ'!F17</f>
        <v>725720</v>
      </c>
      <c r="F6" s="70">
        <f>'Oplijsting (sub)categorieën KSZ'!G17</f>
        <v>739033</v>
      </c>
      <c r="G6" s="70">
        <f>'Oplijsting (sub)categorieën KSZ'!H17</f>
        <v>750095</v>
      </c>
      <c r="H6" s="70">
        <f>'Oplijsting (sub)categorieën KSZ'!I17</f>
        <v>755876</v>
      </c>
      <c r="I6" s="70">
        <f>'Oplijsting (sub)categorieën KSZ'!J17</f>
        <v>765986</v>
      </c>
      <c r="J6" s="70">
        <f>'Oplijsting (sub)categorieën KSZ'!K17</f>
        <v>776292</v>
      </c>
      <c r="K6" s="70">
        <f>'Oplijsting (sub)categorieën KSZ'!L17</f>
        <v>788233</v>
      </c>
      <c r="L6" s="70">
        <f>'Oplijsting (sub)categorieën KSZ'!M17</f>
        <v>795921</v>
      </c>
      <c r="M6" s="70">
        <f>'Oplijsting (sub)categorieën KSZ'!N17</f>
        <v>805537</v>
      </c>
      <c r="N6" s="70">
        <f>'Oplijsting (sub)categorieën KSZ'!O17</f>
        <v>821343</v>
      </c>
      <c r="O6" s="70">
        <f>'Oplijsting (sub)categorieën KSZ'!P17</f>
        <v>836088</v>
      </c>
      <c r="P6" s="70">
        <f>'Oplijsting (sub)categorieën KSZ'!Q17</f>
        <v>854642</v>
      </c>
      <c r="Q6" s="70">
        <f>'Oplijsting (sub)categorieën KSZ'!R17</f>
        <v>869922</v>
      </c>
      <c r="R6" s="70">
        <f>'Oplijsting (sub)categorieën KSZ'!S17</f>
        <v>890004</v>
      </c>
      <c r="S6" s="70">
        <f>'Oplijsting (sub)categorieën KSZ'!T17</f>
        <v>916316</v>
      </c>
      <c r="T6" s="70">
        <f>'Oplijsting (sub)categorieën KSZ'!U17</f>
        <v>945661</v>
      </c>
      <c r="U6" s="70">
        <f>'Oplijsting (sub)categorieën KSZ'!V17</f>
        <v>960661</v>
      </c>
      <c r="V6" s="70">
        <f>'Oplijsting (sub)categorieën KSZ'!W17</f>
        <v>945199</v>
      </c>
    </row>
    <row r="7" spans="1:35" x14ac:dyDescent="0.3">
      <c r="A7" s="70" t="s">
        <v>227</v>
      </c>
      <c r="B7" s="70">
        <f>'Oplijsting (sub)categorieën KSZ'!C18</f>
        <v>853157</v>
      </c>
      <c r="C7" s="70">
        <f>'Oplijsting (sub)categorieën KSZ'!D18</f>
        <v>856519</v>
      </c>
      <c r="D7" s="70">
        <f>'Oplijsting (sub)categorieën KSZ'!E18</f>
        <v>863572</v>
      </c>
      <c r="E7" s="70">
        <f>'Oplijsting (sub)categorieën KSZ'!F18</f>
        <v>877436</v>
      </c>
      <c r="F7" s="70">
        <f>'Oplijsting (sub)categorieën KSZ'!G18</f>
        <v>901280</v>
      </c>
      <c r="G7" s="70">
        <f>'Oplijsting (sub)categorieën KSZ'!H18</f>
        <v>920415</v>
      </c>
      <c r="H7" s="70">
        <f>'Oplijsting (sub)categorieën KSZ'!I18</f>
        <v>930560</v>
      </c>
      <c r="I7" s="70">
        <f>'Oplijsting (sub)categorieën KSZ'!J18</f>
        <v>948805</v>
      </c>
      <c r="J7" s="70">
        <f>'Oplijsting (sub)categorieën KSZ'!K18</f>
        <v>965752</v>
      </c>
      <c r="K7" s="70">
        <f>'Oplijsting (sub)categorieën KSZ'!L18</f>
        <v>984354</v>
      </c>
      <c r="L7" s="70">
        <f>'Oplijsting (sub)categorieën KSZ'!M18</f>
        <v>996415</v>
      </c>
      <c r="M7" s="70">
        <f>'Oplijsting (sub)categorieën KSZ'!N18</f>
        <v>1010704</v>
      </c>
      <c r="N7" s="70">
        <f>'Oplijsting (sub)categorieën KSZ'!O18</f>
        <v>1030641</v>
      </c>
      <c r="O7" s="70">
        <f>'Oplijsting (sub)categorieën KSZ'!P18</f>
        <v>1052469</v>
      </c>
      <c r="P7" s="70">
        <f>'Oplijsting (sub)categorieën KSZ'!Q18</f>
        <v>1081567</v>
      </c>
      <c r="Q7" s="70">
        <f>'Oplijsting (sub)categorieën KSZ'!R18</f>
        <v>1106330</v>
      </c>
      <c r="R7" s="70">
        <f>'Oplijsting (sub)categorieën KSZ'!S18</f>
        <v>1137274</v>
      </c>
      <c r="S7" s="70">
        <f>'Oplijsting (sub)categorieën KSZ'!T18</f>
        <v>1177227</v>
      </c>
      <c r="T7" s="70">
        <f>'Oplijsting (sub)categorieën KSZ'!U18</f>
        <v>1223537</v>
      </c>
      <c r="U7" s="70">
        <f>'Oplijsting (sub)categorieën KSZ'!V18</f>
        <v>1249134</v>
      </c>
      <c r="V7" s="70">
        <f>'Oplijsting (sub)categorieën KSZ'!W18</f>
        <v>1241323</v>
      </c>
    </row>
    <row r="8" spans="1:35" x14ac:dyDescent="0.3">
      <c r="A8" s="70" t="s">
        <v>128</v>
      </c>
      <c r="B8" s="73">
        <v>2362746.48025</v>
      </c>
      <c r="C8" s="73">
        <v>2467975.5851400001</v>
      </c>
      <c r="D8" s="73">
        <v>2601500.7740000002</v>
      </c>
      <c r="E8" s="73">
        <v>2737094.7147400002</v>
      </c>
      <c r="F8" s="73">
        <v>2854576.0869999998</v>
      </c>
      <c r="G8" s="73">
        <v>3244981.3161300002</v>
      </c>
      <c r="H8" s="73">
        <v>3415331.3369999998</v>
      </c>
      <c r="I8" s="73">
        <v>3535058.1069999998</v>
      </c>
      <c r="J8" s="73">
        <v>3602228.1985100009</v>
      </c>
      <c r="K8" s="73">
        <v>3746647.8769999999</v>
      </c>
      <c r="L8" s="73">
        <v>3917483.76456</v>
      </c>
      <c r="M8" s="73">
        <v>3941423.68</v>
      </c>
      <c r="N8" s="73">
        <v>4194116.5819999999</v>
      </c>
      <c r="O8" s="73">
        <v>4301696.9350000015</v>
      </c>
      <c r="P8" s="73">
        <v>4390940.6260000002</v>
      </c>
      <c r="Q8" s="73">
        <v>4485777.8210000005</v>
      </c>
      <c r="R8" s="73">
        <v>4567854.7340000002</v>
      </c>
      <c r="S8" s="73">
        <v>4257700.3496300001</v>
      </c>
      <c r="T8" s="73">
        <v>4676583.5878300024</v>
      </c>
      <c r="U8" s="73">
        <v>4843640.8536499999</v>
      </c>
      <c r="V8" s="73">
        <v>5333723.8682099991</v>
      </c>
      <c r="W8" s="73">
        <v>5627778.5003399989</v>
      </c>
      <c r="X8" s="73">
        <v>5751656.1980000008</v>
      </c>
    </row>
    <row r="9" spans="1:35" x14ac:dyDescent="0.3">
      <c r="A9" s="70" t="s">
        <v>127</v>
      </c>
      <c r="B9" s="73">
        <v>3664626.77605</v>
      </c>
      <c r="C9" s="73">
        <v>3920038.393660001</v>
      </c>
      <c r="D9" s="73">
        <v>4073959.2503599999</v>
      </c>
      <c r="E9" s="73">
        <v>4327686.0560799995</v>
      </c>
      <c r="F9" s="73">
        <v>4522043.5297600003</v>
      </c>
      <c r="G9" s="73">
        <v>5204101.9294211064</v>
      </c>
      <c r="H9" s="73">
        <v>5551179.3286812399</v>
      </c>
      <c r="I9" s="73">
        <v>5857141.8666507415</v>
      </c>
      <c r="J9" s="73">
        <v>6175800.9191399999</v>
      </c>
      <c r="K9" s="73">
        <v>6246251.4651899999</v>
      </c>
      <c r="L9" s="73">
        <v>6496362.7397800004</v>
      </c>
      <c r="M9" s="73">
        <v>6775370.6100000003</v>
      </c>
      <c r="N9" s="73">
        <v>6064990.466</v>
      </c>
      <c r="O9" s="73">
        <v>6139008.7140506227</v>
      </c>
      <c r="P9" s="73">
        <v>6679802.9480000008</v>
      </c>
      <c r="Q9" s="73">
        <v>6936231.2149999999</v>
      </c>
      <c r="R9" s="73">
        <v>7194559.6290000007</v>
      </c>
      <c r="S9" s="73">
        <v>10831756.277240001</v>
      </c>
      <c r="T9" s="73">
        <v>9855311.198663421</v>
      </c>
      <c r="U9" s="73">
        <v>9500092.4459131602</v>
      </c>
      <c r="V9" s="73">
        <v>9331502.0074200016</v>
      </c>
      <c r="W9" s="73">
        <v>10364347.803117545</v>
      </c>
      <c r="X9" s="73">
        <v>10962656.680808512</v>
      </c>
    </row>
    <row r="10" spans="1:35" x14ac:dyDescent="0.3">
      <c r="A10" s="74" t="s">
        <v>129</v>
      </c>
    </row>
    <row r="11" spans="1:35" x14ac:dyDescent="0.3">
      <c r="A11" s="70" t="s">
        <v>128</v>
      </c>
      <c r="B11" s="70">
        <f>B8*B4</f>
        <v>3898251.221444583</v>
      </c>
      <c r="C11" s="70">
        <f t="shared" ref="C11:V11" si="2">C8*C4</f>
        <v>3988147.0598688736</v>
      </c>
      <c r="D11" s="70">
        <f t="shared" si="2"/>
        <v>4090285.3322095736</v>
      </c>
      <c r="E11" s="70">
        <f t="shared" si="2"/>
        <v>4227959.594457997</v>
      </c>
      <c r="F11" s="70">
        <f t="shared" si="2"/>
        <v>4330402.4187440248</v>
      </c>
      <c r="G11" s="70">
        <f t="shared" si="2"/>
        <v>4711020.70348329</v>
      </c>
      <c r="H11" s="70">
        <f t="shared" si="2"/>
        <v>4961059.9531075899</v>
      </c>
      <c r="I11" s="70">
        <f t="shared" si="2"/>
        <v>5024965.7923165029</v>
      </c>
      <c r="J11" s="70">
        <f t="shared" si="2"/>
        <v>4945806.5023527136</v>
      </c>
      <c r="K11" s="70">
        <f t="shared" si="2"/>
        <v>5002096.9229431748</v>
      </c>
      <c r="L11" s="70">
        <f t="shared" si="2"/>
        <v>5172645.5627250234</v>
      </c>
      <c r="M11" s="70">
        <f t="shared" si="2"/>
        <v>5186621.3146023508</v>
      </c>
      <c r="N11" s="70">
        <f t="shared" si="2"/>
        <v>5488514.9007659061</v>
      </c>
      <c r="O11" s="70">
        <f t="shared" si="2"/>
        <v>5520420.4810710484</v>
      </c>
      <c r="P11" s="70">
        <f t="shared" si="2"/>
        <v>5517508.567349067</v>
      </c>
      <c r="Q11" s="70">
        <f t="shared" si="2"/>
        <v>5523145.3141070502</v>
      </c>
      <c r="R11" s="70">
        <f t="shared" si="2"/>
        <v>5544581.1645280374</v>
      </c>
      <c r="S11" s="70">
        <f t="shared" si="2"/>
        <v>5129909.2450510552</v>
      </c>
      <c r="T11" s="70">
        <f t="shared" si="2"/>
        <v>5500588.7844029339</v>
      </c>
      <c r="U11" s="70">
        <f t="shared" si="2"/>
        <v>5198360.8739002356</v>
      </c>
      <c r="V11" s="70">
        <f t="shared" si="2"/>
        <v>5501389.0174401458</v>
      </c>
    </row>
    <row r="12" spans="1:35" x14ac:dyDescent="0.3">
      <c r="A12" s="70" t="s">
        <v>127</v>
      </c>
      <c r="B12" s="70">
        <f>B9*B4</f>
        <v>6046199.1691820808</v>
      </c>
      <c r="C12" s="70">
        <f t="shared" ref="C12:S12" si="3">C9*C4</f>
        <v>6334620.8481075335</v>
      </c>
      <c r="D12" s="70">
        <f t="shared" si="3"/>
        <v>6405401.0409327736</v>
      </c>
      <c r="E12" s="70">
        <f t="shared" si="3"/>
        <v>6684928.2504071491</v>
      </c>
      <c r="F12" s="70">
        <f t="shared" si="3"/>
        <v>6859956.6598059544</v>
      </c>
      <c r="G12" s="70">
        <f t="shared" si="3"/>
        <v>7555245.9456928298</v>
      </c>
      <c r="H12" s="70">
        <f t="shared" si="3"/>
        <v>8063561.2602758063</v>
      </c>
      <c r="I12" s="70">
        <f t="shared" si="3"/>
        <v>8325729.4872705769</v>
      </c>
      <c r="J12" s="70">
        <f t="shared" si="3"/>
        <v>8479284.1152463928</v>
      </c>
      <c r="K12" s="70">
        <f t="shared" si="3"/>
        <v>8339282.542605537</v>
      </c>
      <c r="L12" s="70">
        <f t="shared" si="3"/>
        <v>8577797.361605512</v>
      </c>
      <c r="M12" s="70">
        <f t="shared" si="3"/>
        <v>8915885.3432768583</v>
      </c>
      <c r="N12" s="70">
        <f t="shared" si="3"/>
        <v>7936782.369976609</v>
      </c>
      <c r="O12" s="70">
        <f t="shared" si="3"/>
        <v>7878265.240579688</v>
      </c>
      <c r="P12" s="70">
        <f t="shared" si="3"/>
        <v>8393616.1139505152</v>
      </c>
      <c r="Q12" s="70">
        <f t="shared" si="3"/>
        <v>8540283.1931051854</v>
      </c>
      <c r="R12" s="70">
        <f t="shared" si="3"/>
        <v>8732944.0468207393</v>
      </c>
      <c r="S12" s="70">
        <f t="shared" si="3"/>
        <v>13050689.833440728</v>
      </c>
      <c r="T12" s="70">
        <f>T9*T4</f>
        <v>11591798.420376962</v>
      </c>
      <c r="U12" s="70">
        <f>U9*U4</f>
        <v>10195823.836124308</v>
      </c>
      <c r="V12" s="70">
        <f>V9*V4</f>
        <v>9624836.9672480896</v>
      </c>
    </row>
    <row r="13" spans="1:35" x14ac:dyDescent="0.3">
      <c r="A13" s="74" t="s">
        <v>229</v>
      </c>
    </row>
    <row r="14" spans="1:35" x14ac:dyDescent="0.3">
      <c r="A14" s="70" t="s">
        <v>128</v>
      </c>
      <c r="B14" s="70">
        <f>B11/B$6</f>
        <v>5.4208482308211723</v>
      </c>
      <c r="C14" s="70">
        <f t="shared" ref="C14:V15" si="4">C11/C$6</f>
        <v>5.5586642691544164</v>
      </c>
      <c r="D14" s="70">
        <f t="shared" si="4"/>
        <v>5.688520743168791</v>
      </c>
      <c r="E14" s="70">
        <f t="shared" si="4"/>
        <v>5.8258827019484061</v>
      </c>
      <c r="F14" s="70">
        <f t="shared" si="4"/>
        <v>5.8595521698544246</v>
      </c>
      <c r="G14" s="70">
        <f t="shared" si="4"/>
        <v>6.2805653996937592</v>
      </c>
      <c r="H14" s="70">
        <f t="shared" si="4"/>
        <v>6.5633251394509022</v>
      </c>
      <c r="I14" s="70">
        <f t="shared" si="4"/>
        <v>6.5601274596617989</v>
      </c>
      <c r="J14" s="70">
        <f t="shared" si="4"/>
        <v>6.3710646281975256</v>
      </c>
      <c r="K14" s="70">
        <f t="shared" si="4"/>
        <v>6.3459623270570695</v>
      </c>
      <c r="L14" s="70">
        <f t="shared" si="4"/>
        <v>6.4989434412774925</v>
      </c>
      <c r="M14" s="70">
        <f t="shared" si="4"/>
        <v>6.4387127029575932</v>
      </c>
      <c r="N14" s="70">
        <f t="shared" si="4"/>
        <v>6.6823664422365638</v>
      </c>
      <c r="O14" s="70">
        <f t="shared" si="4"/>
        <v>6.6026787623683729</v>
      </c>
      <c r="P14" s="70">
        <f t="shared" si="4"/>
        <v>6.4559295791092257</v>
      </c>
      <c r="Q14" s="70">
        <f t="shared" si="4"/>
        <v>6.349012111553737</v>
      </c>
      <c r="R14" s="70">
        <f t="shared" si="4"/>
        <v>6.2298384777237379</v>
      </c>
      <c r="S14" s="70">
        <f t="shared" si="4"/>
        <v>5.5984062758383084</v>
      </c>
      <c r="T14" s="70">
        <f t="shared" si="4"/>
        <v>5.8166602877806461</v>
      </c>
      <c r="U14" s="70">
        <f>U11/U$6</f>
        <v>5.4112333839931415</v>
      </c>
      <c r="V14" s="70">
        <f>V11/V$6</f>
        <v>5.8203500188215873</v>
      </c>
    </row>
    <row r="15" spans="1:35" x14ac:dyDescent="0.3">
      <c r="A15" s="70" t="s">
        <v>127</v>
      </c>
      <c r="B15" s="70">
        <f>B12/B$6</f>
        <v>8.4077516321042616</v>
      </c>
      <c r="C15" s="70">
        <f t="shared" si="4"/>
        <v>8.8291705492358972</v>
      </c>
      <c r="D15" s="70">
        <f t="shared" si="4"/>
        <v>8.9082432471716171</v>
      </c>
      <c r="E15" s="70">
        <f t="shared" si="4"/>
        <v>9.2114427746336727</v>
      </c>
      <c r="F15" s="70">
        <f t="shared" si="4"/>
        <v>9.2823414648682192</v>
      </c>
      <c r="G15" s="70">
        <f t="shared" si="4"/>
        <v>10.072385425436551</v>
      </c>
      <c r="H15" s="70">
        <f t="shared" si="4"/>
        <v>10.667836074006592</v>
      </c>
      <c r="I15" s="70">
        <f t="shared" si="4"/>
        <v>10.869297202913078</v>
      </c>
      <c r="J15" s="70">
        <f t="shared" si="4"/>
        <v>10.922802392973768</v>
      </c>
      <c r="K15" s="70">
        <f t="shared" si="4"/>
        <v>10.579717599498546</v>
      </c>
      <c r="L15" s="70">
        <f t="shared" si="4"/>
        <v>10.777196934878603</v>
      </c>
      <c r="M15" s="70">
        <f t="shared" si="4"/>
        <v>11.068250549977044</v>
      </c>
      <c r="N15" s="70">
        <f t="shared" si="4"/>
        <v>9.6631764926183195</v>
      </c>
      <c r="O15" s="70">
        <f t="shared" si="4"/>
        <v>9.4227703789310304</v>
      </c>
      <c r="P15" s="70">
        <f t="shared" si="4"/>
        <v>9.8212071416458766</v>
      </c>
      <c r="Q15" s="70">
        <f t="shared" si="4"/>
        <v>9.8172976348513838</v>
      </c>
      <c r="R15" s="70">
        <f t="shared" si="4"/>
        <v>9.8122525818094513</v>
      </c>
      <c r="S15" s="70">
        <f t="shared" si="4"/>
        <v>14.242564610288076</v>
      </c>
      <c r="T15" s="70">
        <f>T12/T$6</f>
        <v>12.257879325019179</v>
      </c>
      <c r="U15" s="70">
        <f t="shared" si="4"/>
        <v>10.613342101037004</v>
      </c>
      <c r="V15" s="70">
        <f t="shared" si="4"/>
        <v>10.182868334867145</v>
      </c>
      <c r="X15" s="69"/>
    </row>
    <row r="16" spans="1:35" x14ac:dyDescent="0.3">
      <c r="A16" s="74" t="s">
        <v>131</v>
      </c>
      <c r="Y16" s="71" t="s">
        <v>235</v>
      </c>
      <c r="Z16" s="68" t="s">
        <v>238</v>
      </c>
      <c r="AA16" s="68" t="s">
        <v>236</v>
      </c>
      <c r="AB16" s="71" t="s">
        <v>239</v>
      </c>
      <c r="AC16" s="68" t="s">
        <v>237</v>
      </c>
      <c r="AD16" s="68" t="s">
        <v>242</v>
      </c>
      <c r="AE16" s="90" t="s">
        <v>243</v>
      </c>
      <c r="AF16" s="71" t="s">
        <v>244</v>
      </c>
      <c r="AG16" s="68" t="s">
        <v>240</v>
      </c>
      <c r="AH16" s="90" t="s">
        <v>245</v>
      </c>
      <c r="AI16" s="71" t="s">
        <v>241</v>
      </c>
    </row>
    <row r="17" spans="1:35" x14ac:dyDescent="0.3">
      <c r="A17" s="70" t="s">
        <v>126</v>
      </c>
      <c r="B17" s="70">
        <v>100</v>
      </c>
      <c r="C17" s="69">
        <f>C6/B6*B17</f>
        <v>99.769580126876946</v>
      </c>
      <c r="D17" s="69">
        <f t="shared" ref="D17:V17" si="5">D6/C6*C17</f>
        <v>99.988875322963295</v>
      </c>
      <c r="E17" s="69">
        <f t="shared" si="5"/>
        <v>100.91750773860348</v>
      </c>
      <c r="F17" s="69">
        <f t="shared" si="5"/>
        <v>102.7687930559766</v>
      </c>
      <c r="G17" s="69">
        <f t="shared" si="5"/>
        <v>104.30705777322903</v>
      </c>
      <c r="H17" s="69">
        <f t="shared" si="5"/>
        <v>105.110954747595</v>
      </c>
      <c r="I17" s="69">
        <f t="shared" si="5"/>
        <v>106.51683580811046</v>
      </c>
      <c r="J17" s="69">
        <f t="shared" si="5"/>
        <v>107.9499723273659</v>
      </c>
      <c r="K17" s="69">
        <f t="shared" si="5"/>
        <v>109.61046943355927</v>
      </c>
      <c r="L17" s="69">
        <f t="shared" si="5"/>
        <v>110.67955089678804</v>
      </c>
      <c r="M17" s="69">
        <f t="shared" si="5"/>
        <v>112.01673707660177</v>
      </c>
      <c r="N17" s="69">
        <f t="shared" si="5"/>
        <v>114.21469514213169</v>
      </c>
      <c r="O17" s="69">
        <f t="shared" si="5"/>
        <v>116.26511217846212</v>
      </c>
      <c r="P17" s="69">
        <f t="shared" si="5"/>
        <v>118.84520290020335</v>
      </c>
      <c r="Q17" s="69">
        <f t="shared" si="5"/>
        <v>120.97001621421683</v>
      </c>
      <c r="R17" s="69">
        <f t="shared" si="5"/>
        <v>123.7625882673594</v>
      </c>
      <c r="S17" s="69">
        <f t="shared" si="5"/>
        <v>127.42149454473653</v>
      </c>
      <c r="T17" s="69">
        <f t="shared" si="5"/>
        <v>131.50216514026832</v>
      </c>
      <c r="U17" s="69">
        <f t="shared" si="5"/>
        <v>133.5880420846533</v>
      </c>
      <c r="V17" s="69">
        <f t="shared" si="5"/>
        <v>131.43792013038129</v>
      </c>
      <c r="Y17" s="86"/>
      <c r="AB17" s="86"/>
      <c r="AE17" s="91"/>
      <c r="AF17" s="86"/>
      <c r="AH17" s="91"/>
      <c r="AI17" s="86"/>
    </row>
    <row r="18" spans="1:35" x14ac:dyDescent="0.3">
      <c r="A18" s="70" t="s">
        <v>128</v>
      </c>
      <c r="B18" s="70">
        <v>100</v>
      </c>
      <c r="C18" s="69">
        <f>C14/B14*B18</f>
        <v>102.54233345899017</v>
      </c>
      <c r="D18" s="69">
        <f t="shared" ref="D18:T18" si="6">D14/C14*C18</f>
        <v>104.93783446704373</v>
      </c>
      <c r="E18" s="69">
        <f t="shared" si="6"/>
        <v>107.4717913854208</v>
      </c>
      <c r="F18" s="69">
        <f t="shared" si="6"/>
        <v>108.09290207644854</v>
      </c>
      <c r="G18" s="69">
        <f t="shared" si="6"/>
        <v>115.85945837746415</v>
      </c>
      <c r="H18" s="69">
        <f t="shared" si="6"/>
        <v>121.07561141693616</v>
      </c>
      <c r="I18" s="69">
        <f t="shared" si="6"/>
        <v>121.01662286656645</v>
      </c>
      <c r="J18" s="69">
        <f t="shared" si="6"/>
        <v>117.52892456892137</v>
      </c>
      <c r="K18" s="69">
        <f t="shared" si="6"/>
        <v>117.06585495192431</v>
      </c>
      <c r="L18" s="69">
        <f t="shared" si="6"/>
        <v>119.88794307736974</v>
      </c>
      <c r="M18" s="69">
        <f t="shared" si="6"/>
        <v>118.7768487291191</v>
      </c>
      <c r="N18" s="69">
        <f t="shared" si="6"/>
        <v>123.27160174385274</v>
      </c>
      <c r="O18" s="69">
        <f t="shared" si="6"/>
        <v>121.80157940647918</v>
      </c>
      <c r="P18" s="69">
        <f t="shared" si="6"/>
        <v>119.09445356545712</v>
      </c>
      <c r="Q18" s="69">
        <f t="shared" si="6"/>
        <v>117.12211523383604</v>
      </c>
      <c r="R18" s="69">
        <f t="shared" si="6"/>
        <v>114.92368375677648</v>
      </c>
      <c r="S18" s="69">
        <f t="shared" si="6"/>
        <v>103.27546607941535</v>
      </c>
      <c r="T18" s="69">
        <f t="shared" si="6"/>
        <v>107.30166276762766</v>
      </c>
      <c r="U18" s="69">
        <f>U14/T14*T18</f>
        <v>99.82263206017528</v>
      </c>
      <c r="V18" s="69">
        <f>V14/U14*U18</f>
        <v>107.36972833382379</v>
      </c>
      <c r="Y18" s="89">
        <f>M18-B18</f>
        <v>18.776848729119095</v>
      </c>
      <c r="Z18" s="69">
        <f>N18-M18</f>
        <v>4.4947530147336465</v>
      </c>
      <c r="AA18" s="69">
        <f>R18-N18</f>
        <v>-8.3479179870762579</v>
      </c>
      <c r="AB18" s="89">
        <f>R18-B18</f>
        <v>14.923683756776484</v>
      </c>
      <c r="AC18" s="69">
        <f>S18-R18</f>
        <v>-11.648217677361131</v>
      </c>
      <c r="AD18" s="69">
        <f>U18-S18</f>
        <v>-3.4528340192400719</v>
      </c>
      <c r="AE18" s="92">
        <f>U18-R18</f>
        <v>-15.101051696601203</v>
      </c>
      <c r="AF18" s="89">
        <f>U18-B18</f>
        <v>-0.17736793982471966</v>
      </c>
      <c r="AG18" s="69">
        <f>V18-U18</f>
        <v>7.5470962736485063</v>
      </c>
      <c r="AH18" s="92">
        <f>V18-R18</f>
        <v>-7.5539554229526971</v>
      </c>
      <c r="AI18" s="88">
        <f>(V18-B18)</f>
        <v>7.3697283338237867</v>
      </c>
    </row>
    <row r="19" spans="1:35" x14ac:dyDescent="0.3">
      <c r="A19" s="70" t="s">
        <v>127</v>
      </c>
      <c r="B19" s="70">
        <v>100</v>
      </c>
      <c r="C19" s="69">
        <f t="shared" ref="C19:S19" si="7">C15/B15*B19</f>
        <v>105.01226648421064</v>
      </c>
      <c r="D19" s="69">
        <f t="shared" si="7"/>
        <v>105.95274024456516</v>
      </c>
      <c r="E19" s="69">
        <f t="shared" si="7"/>
        <v>109.55893058806097</v>
      </c>
      <c r="F19" s="69">
        <f t="shared" si="7"/>
        <v>110.40218444874623</v>
      </c>
      <c r="G19" s="69">
        <f t="shared" si="7"/>
        <v>119.79879837287331</v>
      </c>
      <c r="H19" s="69">
        <f t="shared" si="7"/>
        <v>126.88096105589509</v>
      </c>
      <c r="I19" s="69">
        <f t="shared" si="7"/>
        <v>129.27709664269364</v>
      </c>
      <c r="J19" s="69">
        <f t="shared" si="7"/>
        <v>129.9134759317343</v>
      </c>
      <c r="K19" s="69">
        <f t="shared" si="7"/>
        <v>125.83289876333671</v>
      </c>
      <c r="L19" s="69">
        <f t="shared" si="7"/>
        <v>128.18167574939801</v>
      </c>
      <c r="M19" s="69">
        <f t="shared" si="7"/>
        <v>131.64340520852093</v>
      </c>
      <c r="N19" s="69">
        <f t="shared" si="7"/>
        <v>114.93175483110525</v>
      </c>
      <c r="O19" s="69">
        <f t="shared" si="7"/>
        <v>112.07241592331307</v>
      </c>
      <c r="P19" s="69">
        <f t="shared" si="7"/>
        <v>116.8113375773906</v>
      </c>
      <c r="Q19" s="69">
        <f t="shared" si="7"/>
        <v>116.7648387395852</v>
      </c>
      <c r="R19" s="69">
        <f t="shared" si="7"/>
        <v>116.70483395753777</v>
      </c>
      <c r="S19" s="69">
        <f t="shared" si="7"/>
        <v>169.39801784705546</v>
      </c>
      <c r="T19" s="69">
        <f>T15/S15*S19</f>
        <v>145.79259546884734</v>
      </c>
      <c r="U19" s="69">
        <f>U15/T15*T19</f>
        <v>126.23282139437714</v>
      </c>
      <c r="V19" s="69">
        <f>V15/U15*U19</f>
        <v>121.11285847199332</v>
      </c>
      <c r="Y19" s="89">
        <f>M19-B19</f>
        <v>31.643405208520932</v>
      </c>
      <c r="Z19" s="69">
        <f>N19-M19</f>
        <v>-16.71165037741568</v>
      </c>
      <c r="AA19" s="69">
        <f>R19-N19</f>
        <v>1.7730791264325205</v>
      </c>
      <c r="AB19" s="89">
        <f>R19-B19</f>
        <v>16.704833957537772</v>
      </c>
      <c r="AC19" s="69">
        <f>S19-R19</f>
        <v>52.693183889517684</v>
      </c>
      <c r="AD19" s="69">
        <f>U19-S19</f>
        <v>-43.165196452678316</v>
      </c>
      <c r="AE19" s="92">
        <f>U19-R19</f>
        <v>9.5279874368393678</v>
      </c>
      <c r="AF19" s="89">
        <f>U19-B19</f>
        <v>26.23282139437714</v>
      </c>
      <c r="AG19" s="69">
        <f>V19-U19</f>
        <v>-5.1199629223838201</v>
      </c>
      <c r="AH19" s="92">
        <f>V19-R19</f>
        <v>4.4080245144555477</v>
      </c>
      <c r="AI19" s="88">
        <f>(V19-B19)</f>
        <v>21.11285847199332</v>
      </c>
    </row>
    <row r="20" spans="1:35" x14ac:dyDescent="0.3">
      <c r="A20" s="74" t="s">
        <v>133</v>
      </c>
      <c r="B20" s="69">
        <f>B14/B15</f>
        <v>0.64474409664078791</v>
      </c>
      <c r="C20" s="69">
        <f t="shared" ref="C20:T20" si="8">C14/C15</f>
        <v>0.62957944216350881</v>
      </c>
      <c r="D20" s="69">
        <f t="shared" si="8"/>
        <v>0.63856818738923704</v>
      </c>
      <c r="E20" s="69">
        <f t="shared" si="8"/>
        <v>0.63246147693514754</v>
      </c>
      <c r="F20" s="69">
        <f t="shared" si="8"/>
        <v>0.63125798507107733</v>
      </c>
      <c r="G20" s="69">
        <f t="shared" si="8"/>
        <v>0.62354299745450326</v>
      </c>
      <c r="H20" s="69">
        <f t="shared" si="8"/>
        <v>0.61524428140053611</v>
      </c>
      <c r="I20" s="69">
        <f t="shared" si="8"/>
        <v>0.60354660813797789</v>
      </c>
      <c r="J20" s="69">
        <f t="shared" si="8"/>
        <v>0.5832811396730746</v>
      </c>
      <c r="K20" s="69">
        <f t="shared" si="8"/>
        <v>0.59982341375140802</v>
      </c>
      <c r="L20" s="69">
        <f t="shared" si="8"/>
        <v>0.60302725101410593</v>
      </c>
      <c r="M20" s="69">
        <f t="shared" si="8"/>
        <v>0.58172813073615748</v>
      </c>
      <c r="N20" s="69">
        <f t="shared" si="8"/>
        <v>0.69152896538122943</v>
      </c>
      <c r="O20" s="69">
        <f t="shared" si="8"/>
        <v>0.70071523520638057</v>
      </c>
      <c r="P20" s="69">
        <f t="shared" si="8"/>
        <v>0.65734583193276541</v>
      </c>
      <c r="Q20" s="69">
        <f t="shared" si="8"/>
        <v>0.64671688153924956</v>
      </c>
      <c r="R20" s="69">
        <f t="shared" si="8"/>
        <v>0.63490400657571633</v>
      </c>
      <c r="S20" s="69">
        <f t="shared" si="8"/>
        <v>0.39307571557683618</v>
      </c>
      <c r="T20" s="69">
        <f t="shared" si="8"/>
        <v>0.47452419244399319</v>
      </c>
      <c r="U20" s="69">
        <f>U14/U15</f>
        <v>0.5098519705177903</v>
      </c>
      <c r="V20" s="69">
        <f>V14/V15</f>
        <v>0.57158256666170726</v>
      </c>
      <c r="Y20" s="87">
        <f>(M20-B20)/B20</f>
        <v>-9.7737949417378053E-2</v>
      </c>
      <c r="Z20" s="79">
        <f>(N20-M20)/M20</f>
        <v>0.18874939829043968</v>
      </c>
      <c r="AA20" s="79">
        <f>(R20-N20)/N20</f>
        <v>-8.1883712237992262E-2</v>
      </c>
      <c r="AB20" s="87">
        <f>(R20-B20)/B20</f>
        <v>-1.5262008781995689E-2</v>
      </c>
      <c r="AE20" s="93">
        <f>(U20-R20)/R20</f>
        <v>-0.19696211515876264</v>
      </c>
      <c r="AF20" s="87">
        <f>(U20-B20)/B20</f>
        <v>-0.20921808640948483</v>
      </c>
      <c r="AG20" s="79">
        <f>(V20-U20)/U20</f>
        <v>0.12107552723827904</v>
      </c>
      <c r="AH20" s="93">
        <f>(V20-R20)/V20</f>
        <v>-0.11078266484549036</v>
      </c>
      <c r="AI20" s="87">
        <f>(V20-B20)/B20</f>
        <v>-0.11347374929101801</v>
      </c>
    </row>
    <row r="21" spans="1:35" x14ac:dyDescent="0.3">
      <c r="A21" s="74" t="s">
        <v>134</v>
      </c>
      <c r="B21" s="69">
        <f>1-B20</f>
        <v>0.35525590335921209</v>
      </c>
      <c r="C21" s="69">
        <f t="shared" ref="C21:V21" si="9">1-C20</f>
        <v>0.37042055783649119</v>
      </c>
      <c r="D21" s="69">
        <f t="shared" si="9"/>
        <v>0.36143181261076296</v>
      </c>
      <c r="E21" s="69">
        <f t="shared" si="9"/>
        <v>0.36753852306485246</v>
      </c>
      <c r="F21" s="69">
        <f t="shared" si="9"/>
        <v>0.36874201492892267</v>
      </c>
      <c r="G21" s="69">
        <f t="shared" si="9"/>
        <v>0.37645700254549674</v>
      </c>
      <c r="H21" s="69">
        <f t="shared" si="9"/>
        <v>0.38475571859946389</v>
      </c>
      <c r="I21" s="69">
        <f t="shared" si="9"/>
        <v>0.39645339186202211</v>
      </c>
      <c r="J21" s="69">
        <f t="shared" si="9"/>
        <v>0.4167188603269254</v>
      </c>
      <c r="K21" s="69">
        <f t="shared" si="9"/>
        <v>0.40017658624859198</v>
      </c>
      <c r="L21" s="69">
        <f t="shared" si="9"/>
        <v>0.39697274898589407</v>
      </c>
      <c r="M21" s="69">
        <f t="shared" si="9"/>
        <v>0.41827186926384252</v>
      </c>
      <c r="N21" s="69">
        <f t="shared" si="9"/>
        <v>0.30847103461877057</v>
      </c>
      <c r="O21" s="69">
        <f t="shared" si="9"/>
        <v>0.29928476479361943</v>
      </c>
      <c r="P21" s="69">
        <f t="shared" si="9"/>
        <v>0.34265416806723459</v>
      </c>
      <c r="Q21" s="69">
        <f t="shared" si="9"/>
        <v>0.35328311846075044</v>
      </c>
      <c r="R21" s="69">
        <f t="shared" si="9"/>
        <v>0.36509599342428367</v>
      </c>
      <c r="S21" s="69">
        <f t="shared" si="9"/>
        <v>0.60692428442316382</v>
      </c>
      <c r="T21" s="69">
        <f t="shared" si="9"/>
        <v>0.52547580755600687</v>
      </c>
      <c r="U21" s="69">
        <f t="shared" si="9"/>
        <v>0.4901480294822097</v>
      </c>
      <c r="V21" s="69">
        <f t="shared" si="9"/>
        <v>0.42841743333829274</v>
      </c>
      <c r="Y21" s="86"/>
      <c r="AB21" s="86"/>
      <c r="AE21" s="91"/>
      <c r="AF21" s="86"/>
      <c r="AH21" s="91"/>
      <c r="AI21" s="86"/>
    </row>
    <row r="22" spans="1:35" x14ac:dyDescent="0.3">
      <c r="A22" s="74" t="s">
        <v>230</v>
      </c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Y22" s="86"/>
      <c r="AB22" s="86"/>
      <c r="AE22" s="91"/>
      <c r="AF22" s="86"/>
      <c r="AH22" s="91"/>
      <c r="AI22" s="86"/>
    </row>
    <row r="23" spans="1:35" x14ac:dyDescent="0.3">
      <c r="A23" s="70" t="s">
        <v>128</v>
      </c>
      <c r="B23" s="75">
        <f>B11/B$7</f>
        <v>4.5692073339896213</v>
      </c>
      <c r="C23" s="75">
        <f t="shared" ref="C23:V23" si="10">C11/C$7</f>
        <v>4.6562271938729598</v>
      </c>
      <c r="D23" s="75">
        <f t="shared" si="10"/>
        <v>4.7364728502192914</v>
      </c>
      <c r="E23" s="75">
        <f t="shared" si="10"/>
        <v>4.818539009634887</v>
      </c>
      <c r="F23" s="75">
        <f t="shared" si="10"/>
        <v>4.8047248565862164</v>
      </c>
      <c r="G23" s="75">
        <f t="shared" si="10"/>
        <v>5.1183658496257562</v>
      </c>
      <c r="H23" s="75">
        <f t="shared" si="10"/>
        <v>5.3312628450691948</v>
      </c>
      <c r="I23" s="75">
        <f t="shared" si="10"/>
        <v>5.2960996119502983</v>
      </c>
      <c r="J23" s="75">
        <f t="shared" si="10"/>
        <v>5.1211972663299825</v>
      </c>
      <c r="K23" s="75">
        <f t="shared" si="10"/>
        <v>5.0816036943448948</v>
      </c>
      <c r="L23" s="75">
        <f t="shared" si="10"/>
        <v>5.1912562162603164</v>
      </c>
      <c r="M23" s="75">
        <f t="shared" si="10"/>
        <v>5.1316916867869828</v>
      </c>
      <c r="N23" s="75">
        <f t="shared" si="10"/>
        <v>5.3253411234036934</v>
      </c>
      <c r="O23" s="75">
        <f t="shared" si="10"/>
        <v>5.2452095796370708</v>
      </c>
      <c r="P23" s="75">
        <f t="shared" si="10"/>
        <v>5.1014024719218201</v>
      </c>
      <c r="Q23" s="75">
        <f t="shared" si="10"/>
        <v>4.9923127042627877</v>
      </c>
      <c r="R23" s="75">
        <f t="shared" si="10"/>
        <v>4.8753257038567988</v>
      </c>
      <c r="S23" s="75">
        <f t="shared" si="10"/>
        <v>4.3576211257905699</v>
      </c>
      <c r="T23" s="75">
        <f t="shared" si="10"/>
        <v>4.4956456440654708</v>
      </c>
      <c r="U23" s="75">
        <f t="shared" si="10"/>
        <v>4.1615718360882301</v>
      </c>
      <c r="V23" s="75">
        <f t="shared" si="10"/>
        <v>4.4318755210691707</v>
      </c>
      <c r="Y23" s="86"/>
      <c r="AB23" s="86"/>
      <c r="AE23" s="91"/>
      <c r="AF23" s="86"/>
      <c r="AH23" s="91"/>
      <c r="AI23" s="86"/>
    </row>
    <row r="24" spans="1:35" x14ac:dyDescent="0.3">
      <c r="A24" s="70" t="s">
        <v>127</v>
      </c>
      <c r="B24" s="75">
        <f>B12/B$7</f>
        <v>7.0868540833423168</v>
      </c>
      <c r="C24" s="75">
        <f t="shared" ref="C24:V24" si="11">C12/C$7</f>
        <v>7.3957738802146054</v>
      </c>
      <c r="D24" s="75">
        <f t="shared" si="11"/>
        <v>7.4173329391559406</v>
      </c>
      <c r="E24" s="75">
        <f t="shared" si="11"/>
        <v>7.6187075187331601</v>
      </c>
      <c r="F24" s="75">
        <f t="shared" si="11"/>
        <v>7.6113490367099619</v>
      </c>
      <c r="G24" s="75">
        <f t="shared" si="11"/>
        <v>8.2085210972146587</v>
      </c>
      <c r="H24" s="75">
        <f t="shared" si="11"/>
        <v>8.6652781768782301</v>
      </c>
      <c r="I24" s="75">
        <f t="shared" si="11"/>
        <v>8.7749637567999503</v>
      </c>
      <c r="J24" s="75">
        <f t="shared" si="11"/>
        <v>8.7799809011489423</v>
      </c>
      <c r="K24" s="75">
        <f t="shared" si="11"/>
        <v>8.4718328392077815</v>
      </c>
      <c r="L24" s="75">
        <f t="shared" si="11"/>
        <v>8.608659405574496</v>
      </c>
      <c r="M24" s="75">
        <f t="shared" si="11"/>
        <v>8.8214604308253044</v>
      </c>
      <c r="N24" s="75">
        <f t="shared" si="11"/>
        <v>7.7008214984428225</v>
      </c>
      <c r="O24" s="75">
        <f t="shared" si="11"/>
        <v>7.4855081152791083</v>
      </c>
      <c r="P24" s="75">
        <f t="shared" si="11"/>
        <v>7.7606067067047304</v>
      </c>
      <c r="Q24" s="75">
        <f t="shared" si="11"/>
        <v>7.7194717607813086</v>
      </c>
      <c r="R24" s="75">
        <f t="shared" si="11"/>
        <v>7.6788390896307659</v>
      </c>
      <c r="S24" s="75">
        <f t="shared" si="11"/>
        <v>11.085958641316186</v>
      </c>
      <c r="T24" s="75">
        <f t="shared" si="11"/>
        <v>9.4740072595899942</v>
      </c>
      <c r="U24" s="75">
        <f t="shared" si="11"/>
        <v>8.1623139199832107</v>
      </c>
      <c r="V24" s="75">
        <f t="shared" si="11"/>
        <v>7.7536926063950231</v>
      </c>
      <c r="Y24" s="86"/>
      <c r="AB24" s="86"/>
      <c r="AE24" s="91"/>
      <c r="AF24" s="86"/>
      <c r="AH24" s="91"/>
      <c r="AI24" s="86"/>
    </row>
    <row r="25" spans="1:35" x14ac:dyDescent="0.3">
      <c r="A25" s="74" t="s">
        <v>131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Y25" s="86"/>
      <c r="AB25" s="86"/>
      <c r="AE25" s="91"/>
      <c r="AF25" s="86"/>
      <c r="AH25" s="91"/>
      <c r="AI25" s="86"/>
    </row>
    <row r="26" spans="1:35" x14ac:dyDescent="0.3">
      <c r="A26" s="70" t="s">
        <v>126</v>
      </c>
      <c r="B26" s="70">
        <v>100</v>
      </c>
      <c r="C26" s="69">
        <f>C7/B7*B26</f>
        <v>100.39406580500423</v>
      </c>
      <c r="D26" s="69">
        <f t="shared" ref="D26:V26" si="12">D7/C7*C26</f>
        <v>101.22076007112406</v>
      </c>
      <c r="E26" s="69">
        <f t="shared" si="12"/>
        <v>102.84578336695355</v>
      </c>
      <c r="F26" s="69">
        <f t="shared" si="12"/>
        <v>105.64057963540121</v>
      </c>
      <c r="G26" s="69">
        <f t="shared" si="12"/>
        <v>107.8834259110574</v>
      </c>
      <c r="H26" s="69">
        <f t="shared" si="12"/>
        <v>109.07253881759161</v>
      </c>
      <c r="I26" s="69">
        <f t="shared" si="12"/>
        <v>111.2110666618219</v>
      </c>
      <c r="J26" s="69">
        <f t="shared" si="12"/>
        <v>113.19745369257944</v>
      </c>
      <c r="K26" s="69">
        <f t="shared" si="12"/>
        <v>115.3778261211008</v>
      </c>
      <c r="L26" s="69">
        <f t="shared" si="12"/>
        <v>116.79151668450237</v>
      </c>
      <c r="M26" s="69">
        <f t="shared" si="12"/>
        <v>118.46635496163071</v>
      </c>
      <c r="N26" s="69">
        <f t="shared" si="12"/>
        <v>120.80320503729088</v>
      </c>
      <c r="O26" s="69">
        <f t="shared" si="12"/>
        <v>123.36170247680083</v>
      </c>
      <c r="P26" s="69">
        <f t="shared" si="12"/>
        <v>126.77232912582322</v>
      </c>
      <c r="Q26" s="69">
        <f t="shared" si="12"/>
        <v>129.67484296559715</v>
      </c>
      <c r="R26" s="69">
        <f t="shared" si="12"/>
        <v>133.30184245103771</v>
      </c>
      <c r="S26" s="69">
        <f t="shared" si="12"/>
        <v>137.9848023282936</v>
      </c>
      <c r="T26" s="69">
        <f t="shared" si="12"/>
        <v>143.41287711405985</v>
      </c>
      <c r="U26" s="69">
        <f t="shared" si="12"/>
        <v>146.41314552890029</v>
      </c>
      <c r="V26" s="69">
        <f t="shared" si="12"/>
        <v>145.49760477848741</v>
      </c>
      <c r="Y26" s="86"/>
      <c r="AB26" s="86"/>
      <c r="AE26" s="91"/>
      <c r="AF26" s="86"/>
      <c r="AH26" s="91"/>
      <c r="AI26" s="86"/>
    </row>
    <row r="27" spans="1:35" x14ac:dyDescent="0.3">
      <c r="A27" s="70" t="s">
        <v>128</v>
      </c>
      <c r="B27" s="70">
        <v>100</v>
      </c>
      <c r="C27" s="69">
        <f>C23/B23*B27</f>
        <v>101.90448481591132</v>
      </c>
      <c r="D27" s="69">
        <f t="shared" ref="D27:D28" si="13">D23/C23*C27</f>
        <v>103.66071189165368</v>
      </c>
      <c r="E27" s="69">
        <f t="shared" ref="E27:E28" si="14">E23/D23*D27</f>
        <v>105.45678183151215</v>
      </c>
      <c r="F27" s="69">
        <f t="shared" ref="F27:F28" si="15">F23/E23*E27</f>
        <v>105.15445033199998</v>
      </c>
      <c r="G27" s="69">
        <f t="shared" ref="G27:G28" si="16">G23/F23*F27</f>
        <v>112.01868235549372</v>
      </c>
      <c r="H27" s="69">
        <f t="shared" ref="H27:H28" si="17">H23/G23*G27</f>
        <v>116.67806810627221</v>
      </c>
      <c r="I27" s="69">
        <f t="shared" ref="I27:I28" si="18">I23/H23*H27</f>
        <v>115.90849845121798</v>
      </c>
      <c r="J27" s="69">
        <f t="shared" ref="J27:J28" si="19">J23/I23*I27</f>
        <v>112.08064970556697</v>
      </c>
      <c r="K27" s="69">
        <f t="shared" ref="K27:K28" si="20">K23/J23*J27</f>
        <v>111.2141192749919</v>
      </c>
      <c r="L27" s="69">
        <f t="shared" ref="L27:L28" si="21">L23/K23*K27</f>
        <v>113.61393425164515</v>
      </c>
      <c r="M27" s="69">
        <f t="shared" ref="M27:M28" si="22">M23/L23*L27</f>
        <v>112.31032675215081</v>
      </c>
      <c r="N27" s="69">
        <f t="shared" ref="N27:N28" si="23">N23/M23*M27</f>
        <v>116.54846747244997</v>
      </c>
      <c r="O27" s="69">
        <f t="shared" ref="O27:O28" si="24">O23/N23*N27</f>
        <v>114.79473782287735</v>
      </c>
      <c r="P27" s="69">
        <f t="shared" ref="P27:P28" si="25">P23/O23*O27</f>
        <v>111.64742807736653</v>
      </c>
      <c r="Q27" s="69">
        <f t="shared" ref="Q27:Q28" si="26">Q23/P23*P27</f>
        <v>109.25992933447669</v>
      </c>
      <c r="R27" s="69">
        <f t="shared" ref="R27:R28" si="27">R23/Q23*Q27</f>
        <v>106.6995946450057</v>
      </c>
      <c r="S27" s="69">
        <f t="shared" ref="S27:S28" si="28">S23/R23*R27</f>
        <v>95.369301659281348</v>
      </c>
      <c r="T27" s="69">
        <f t="shared" ref="T27" si="29">T23/S23*S27</f>
        <v>98.390055767946052</v>
      </c>
      <c r="U27" s="69">
        <f>U23/T23*T27</f>
        <v>91.078638632371621</v>
      </c>
      <c r="V27" s="69">
        <f>V23/U23*U27</f>
        <v>96.994406187286302</v>
      </c>
      <c r="Y27" s="89">
        <f>M27-B27</f>
        <v>12.310326752150814</v>
      </c>
      <c r="Z27" s="69">
        <f>N27-M27</f>
        <v>4.2381407202991568</v>
      </c>
      <c r="AA27" s="69">
        <f>R27-N27</f>
        <v>-9.8488728274442678</v>
      </c>
      <c r="AB27" s="89">
        <f>R27-B27</f>
        <v>6.6995946450057033</v>
      </c>
      <c r="AC27" s="69">
        <f>S27-R27</f>
        <v>-11.330292985724356</v>
      </c>
      <c r="AD27" s="69">
        <f>U27-S27</f>
        <v>-4.2906630269097263</v>
      </c>
      <c r="AE27" s="92">
        <f>U27-R27</f>
        <v>-15.620956012634082</v>
      </c>
      <c r="AF27" s="89">
        <f>U27-B27</f>
        <v>-8.9213613676283785</v>
      </c>
      <c r="AG27" s="69">
        <f>V27-U27</f>
        <v>5.9157675549146802</v>
      </c>
      <c r="AH27" s="92">
        <f>V27-R27</f>
        <v>-9.7051884577194016</v>
      </c>
      <c r="AI27" s="88">
        <f>(V27-B27)</f>
        <v>-3.0055938127136983</v>
      </c>
    </row>
    <row r="28" spans="1:35" x14ac:dyDescent="0.3">
      <c r="A28" s="70" t="s">
        <v>127</v>
      </c>
      <c r="B28" s="70">
        <v>100</v>
      </c>
      <c r="C28" s="69">
        <f>C24/B24*B28</f>
        <v>104.35905400674758</v>
      </c>
      <c r="D28" s="69">
        <f t="shared" si="13"/>
        <v>104.66326598413274</v>
      </c>
      <c r="E28" s="69">
        <f t="shared" si="14"/>
        <v>107.50478885463394</v>
      </c>
      <c r="F28" s="69">
        <f t="shared" si="15"/>
        <v>107.40095601235073</v>
      </c>
      <c r="G28" s="69">
        <f t="shared" si="16"/>
        <v>115.82743204080957</v>
      </c>
      <c r="H28" s="69">
        <f t="shared" si="17"/>
        <v>122.27256374935116</v>
      </c>
      <c r="I28" s="69">
        <f t="shared" si="18"/>
        <v>123.82029675798664</v>
      </c>
      <c r="J28" s="69">
        <f t="shared" si="19"/>
        <v>123.89109184266019</v>
      </c>
      <c r="K28" s="69">
        <f t="shared" si="20"/>
        <v>119.54292750461541</v>
      </c>
      <c r="L28" s="69">
        <f t="shared" si="21"/>
        <v>121.47363702336119</v>
      </c>
      <c r="M28" s="69">
        <f t="shared" si="22"/>
        <v>124.47639427994133</v>
      </c>
      <c r="N28" s="69">
        <f t="shared" si="23"/>
        <v>108.66346912015078</v>
      </c>
      <c r="O28" s="69">
        <f t="shared" si="24"/>
        <v>105.62526090206697</v>
      </c>
      <c r="P28" s="69">
        <f t="shared" si="25"/>
        <v>109.50707627727334</v>
      </c>
      <c r="Q28" s="69">
        <f t="shared" si="26"/>
        <v>108.92663613500895</v>
      </c>
      <c r="R28" s="69">
        <f t="shared" si="27"/>
        <v>108.35328340793573</v>
      </c>
      <c r="S28" s="69">
        <f t="shared" si="28"/>
        <v>156.42989838571367</v>
      </c>
      <c r="T28" s="69">
        <f>T24/S24*S28</f>
        <v>133.68424336347906</v>
      </c>
      <c r="U28" s="69">
        <f>U24/T24*T28</f>
        <v>115.17541950198704</v>
      </c>
      <c r="V28" s="69">
        <f>V24/U24*U28</f>
        <v>109.4095139424433</v>
      </c>
      <c r="Y28" s="89">
        <f>M28-B28</f>
        <v>24.476394279941331</v>
      </c>
      <c r="Z28" s="69">
        <f>N28-M28</f>
        <v>-15.812925159790552</v>
      </c>
      <c r="AA28" s="69">
        <f>R28-N28</f>
        <v>-0.31018571221504487</v>
      </c>
      <c r="AB28" s="89">
        <f>R28-B28</f>
        <v>8.3532834079357343</v>
      </c>
      <c r="AC28" s="69">
        <f>S28-R28</f>
        <v>48.076614977777936</v>
      </c>
      <c r="AD28" s="69">
        <f>U28-S28</f>
        <v>-41.254478883726634</v>
      </c>
      <c r="AE28" s="92">
        <f>U28-R28</f>
        <v>6.8221360940513023</v>
      </c>
      <c r="AF28" s="89">
        <f>U28-B28</f>
        <v>15.175419501987037</v>
      </c>
      <c r="AG28" s="69">
        <f>V28-U28</f>
        <v>-5.7659055595437394</v>
      </c>
      <c r="AH28" s="92">
        <f>V28-R28</f>
        <v>1.0562305345075629</v>
      </c>
      <c r="AI28" s="88">
        <f>(V28-B28)</f>
        <v>9.4095139424432972</v>
      </c>
    </row>
    <row r="29" spans="1:35" x14ac:dyDescent="0.3">
      <c r="A29" s="74" t="s">
        <v>133</v>
      </c>
      <c r="B29" s="69">
        <f>B23/B24</f>
        <v>0.64474409664078791</v>
      </c>
      <c r="C29" s="69">
        <f t="shared" ref="C29:T29" si="30">C23/C24</f>
        <v>0.6295794421635087</v>
      </c>
      <c r="D29" s="69">
        <f t="shared" si="30"/>
        <v>0.63856818738923704</v>
      </c>
      <c r="E29" s="69">
        <f t="shared" si="30"/>
        <v>0.63246147693514743</v>
      </c>
      <c r="F29" s="69">
        <f t="shared" si="30"/>
        <v>0.63125798507107744</v>
      </c>
      <c r="G29" s="69">
        <f t="shared" si="30"/>
        <v>0.62354299745450326</v>
      </c>
      <c r="H29" s="69">
        <f t="shared" si="30"/>
        <v>0.61524428140053622</v>
      </c>
      <c r="I29" s="69">
        <f t="shared" si="30"/>
        <v>0.60354660813797789</v>
      </c>
      <c r="J29" s="69">
        <f t="shared" si="30"/>
        <v>0.58328113967307449</v>
      </c>
      <c r="K29" s="69">
        <f t="shared" si="30"/>
        <v>0.59982341375140802</v>
      </c>
      <c r="L29" s="69">
        <f t="shared" si="30"/>
        <v>0.60302725101410604</v>
      </c>
      <c r="M29" s="69">
        <f t="shared" si="30"/>
        <v>0.58172813073615748</v>
      </c>
      <c r="N29" s="69">
        <f t="shared" si="30"/>
        <v>0.69152896538122932</v>
      </c>
      <c r="O29" s="69">
        <f t="shared" si="30"/>
        <v>0.70071523520638057</v>
      </c>
      <c r="P29" s="69">
        <f t="shared" si="30"/>
        <v>0.65734583193276541</v>
      </c>
      <c r="Q29" s="69">
        <f t="shared" si="30"/>
        <v>0.64671688153924956</v>
      </c>
      <c r="R29" s="69">
        <f t="shared" si="30"/>
        <v>0.63490400657571622</v>
      </c>
      <c r="S29" s="69">
        <f t="shared" si="30"/>
        <v>0.39307571557683613</v>
      </c>
      <c r="T29" s="69">
        <f t="shared" si="30"/>
        <v>0.47452419244399319</v>
      </c>
      <c r="U29" s="69">
        <f>U23/U24</f>
        <v>0.50985197051779041</v>
      </c>
      <c r="V29" s="69">
        <f>V23/V24</f>
        <v>0.57158256666170737</v>
      </c>
      <c r="Y29" s="87">
        <f>(M29-B29)/B29</f>
        <v>-9.7737949417378053E-2</v>
      </c>
      <c r="Z29" s="79">
        <f>(N29-M29)/M29</f>
        <v>0.18874939829043949</v>
      </c>
      <c r="AA29" s="79">
        <f>(R29-N29)/N29</f>
        <v>-8.1883712237992276E-2</v>
      </c>
      <c r="AB29" s="87">
        <f>(R29-B29)/B29</f>
        <v>-1.5262008781995863E-2</v>
      </c>
      <c r="AE29" s="93">
        <f>(U29-R29)/R29</f>
        <v>-0.19696211515876233</v>
      </c>
      <c r="AF29" s="87">
        <f>(U29-B29)/B29</f>
        <v>-0.20921808640948467</v>
      </c>
      <c r="AG29" s="79">
        <f>(V29-U29)/U29</f>
        <v>0.12107552723827901</v>
      </c>
      <c r="AH29" s="93">
        <f>(V29-R29)/V29</f>
        <v>-0.11078266484548996</v>
      </c>
      <c r="AI29" s="87">
        <f>(V29-B29)/B29</f>
        <v>-0.11347374929101783</v>
      </c>
    </row>
    <row r="30" spans="1:35" x14ac:dyDescent="0.3">
      <c r="A30" s="74" t="s">
        <v>134</v>
      </c>
      <c r="B30" s="69">
        <f>1-B29</f>
        <v>0.35525590335921209</v>
      </c>
      <c r="C30" s="69">
        <f t="shared" ref="C30:V30" si="31">1-C29</f>
        <v>0.3704205578364913</v>
      </c>
      <c r="D30" s="69">
        <f t="shared" si="31"/>
        <v>0.36143181261076296</v>
      </c>
      <c r="E30" s="69">
        <f t="shared" si="31"/>
        <v>0.36753852306485257</v>
      </c>
      <c r="F30" s="69">
        <f t="shared" si="31"/>
        <v>0.36874201492892256</v>
      </c>
      <c r="G30" s="69">
        <f t="shared" si="31"/>
        <v>0.37645700254549674</v>
      </c>
      <c r="H30" s="69">
        <f t="shared" si="31"/>
        <v>0.38475571859946378</v>
      </c>
      <c r="I30" s="69">
        <f t="shared" si="31"/>
        <v>0.39645339186202211</v>
      </c>
      <c r="J30" s="69">
        <f t="shared" si="31"/>
        <v>0.41671886032692551</v>
      </c>
      <c r="K30" s="69">
        <f t="shared" si="31"/>
        <v>0.40017658624859198</v>
      </c>
      <c r="L30" s="69">
        <f t="shared" si="31"/>
        <v>0.39697274898589396</v>
      </c>
      <c r="M30" s="69">
        <f t="shared" si="31"/>
        <v>0.41827186926384252</v>
      </c>
      <c r="N30" s="69">
        <f t="shared" si="31"/>
        <v>0.30847103461877068</v>
      </c>
      <c r="O30" s="69">
        <f t="shared" si="31"/>
        <v>0.29928476479361943</v>
      </c>
      <c r="P30" s="69">
        <f t="shared" si="31"/>
        <v>0.34265416806723459</v>
      </c>
      <c r="Q30" s="69">
        <f t="shared" si="31"/>
        <v>0.35328311846075044</v>
      </c>
      <c r="R30" s="69">
        <f t="shared" si="31"/>
        <v>0.36509599342428378</v>
      </c>
      <c r="S30" s="69">
        <f t="shared" si="31"/>
        <v>0.60692428442316393</v>
      </c>
      <c r="T30" s="69">
        <f t="shared" si="31"/>
        <v>0.52547580755600687</v>
      </c>
      <c r="U30" s="69">
        <f t="shared" si="31"/>
        <v>0.49014802948220959</v>
      </c>
      <c r="V30" s="69">
        <f t="shared" si="31"/>
        <v>0.42841743333829263</v>
      </c>
      <c r="Y30" s="86"/>
      <c r="AB30" s="86"/>
      <c r="AE30" s="91"/>
      <c r="AF30" s="86"/>
      <c r="AH30" s="91"/>
      <c r="AI30" s="86"/>
    </row>
    <row r="31" spans="1:35" x14ac:dyDescent="0.3">
      <c r="Y31" s="86"/>
      <c r="AB31" s="86"/>
      <c r="AE31" s="91"/>
      <c r="AF31" s="86"/>
      <c r="AH31" s="91"/>
      <c r="AI31" s="86"/>
    </row>
    <row r="32" spans="1:35" x14ac:dyDescent="0.3">
      <c r="A32" s="68" t="s">
        <v>132</v>
      </c>
      <c r="Y32" s="86"/>
      <c r="AB32" s="86"/>
      <c r="AE32" s="91"/>
      <c r="AF32" s="86"/>
      <c r="AH32" s="91"/>
      <c r="AI32" s="86"/>
    </row>
    <row r="33" spans="1:35" x14ac:dyDescent="0.3">
      <c r="A33" s="70" t="s">
        <v>231</v>
      </c>
      <c r="B33" s="70">
        <f>'Oplijsting (sub)categorieën KSZ'!C15</f>
        <v>3416845</v>
      </c>
      <c r="C33" s="70">
        <f>'Oplijsting (sub)categorieën KSZ'!D15</f>
        <v>3446922</v>
      </c>
      <c r="D33" s="70">
        <f>'Oplijsting (sub)categorieën KSZ'!E15</f>
        <v>3488326</v>
      </c>
      <c r="E33" s="70">
        <f>'Oplijsting (sub)categorieën KSZ'!F15</f>
        <v>3552305</v>
      </c>
      <c r="F33" s="70">
        <f>'Oplijsting (sub)categorieën KSZ'!G15</f>
        <v>3632158</v>
      </c>
      <c r="G33" s="70">
        <f>'Oplijsting (sub)categorieën KSZ'!H15</f>
        <v>3664695</v>
      </c>
      <c r="H33" s="70">
        <f>'Oplijsting (sub)categorieën KSZ'!I15</f>
        <v>3650975</v>
      </c>
      <c r="I33" s="70">
        <f>'Oplijsting (sub)categorieën KSZ'!J15</f>
        <v>3702275</v>
      </c>
      <c r="J33" s="70">
        <f>'Oplijsting (sub)categorieën KSZ'!K15</f>
        <v>3724412</v>
      </c>
      <c r="K33" s="70">
        <f>'Oplijsting (sub)categorieën KSZ'!L15</f>
        <v>3717226</v>
      </c>
      <c r="L33" s="70">
        <f>'Oplijsting (sub)categorieën KSZ'!M15</f>
        <v>3704916</v>
      </c>
      <c r="M33" s="70">
        <f>'Oplijsting (sub)categorieën KSZ'!N15</f>
        <v>3726937</v>
      </c>
      <c r="N33" s="70">
        <f>'Oplijsting (sub)categorieën KSZ'!O15</f>
        <v>3752674</v>
      </c>
      <c r="O33" s="70">
        <f>'Oplijsting (sub)categorieën KSZ'!P15</f>
        <v>3801359</v>
      </c>
      <c r="P33" s="70">
        <f>'Oplijsting (sub)categorieën KSZ'!Q15</f>
        <v>3858071</v>
      </c>
      <c r="Q33" s="70">
        <f>'Oplijsting (sub)categorieën KSZ'!R15</f>
        <v>3914029</v>
      </c>
      <c r="R33" s="70">
        <f>'Oplijsting (sub)categorieën KSZ'!S15</f>
        <v>3966918</v>
      </c>
      <c r="S33" s="70">
        <f>'Oplijsting (sub)categorieën KSZ'!T15</f>
        <v>3946692</v>
      </c>
      <c r="T33" s="70">
        <f>'Oplijsting (sub)categorieën KSZ'!U15</f>
        <v>4019084</v>
      </c>
      <c r="U33" s="70">
        <f>'Oplijsting (sub)categorieën KSZ'!V15</f>
        <v>4069839</v>
      </c>
      <c r="V33" s="70">
        <f>'Oplijsting (sub)categorieën KSZ'!W15</f>
        <v>3992877</v>
      </c>
      <c r="Y33" s="86"/>
      <c r="AB33" s="86"/>
      <c r="AE33" s="91"/>
      <c r="AF33" s="86"/>
      <c r="AH33" s="91"/>
      <c r="AI33" s="86"/>
    </row>
    <row r="34" spans="1:35" x14ac:dyDescent="0.3">
      <c r="A34" s="70" t="s">
        <v>232</v>
      </c>
      <c r="B34" s="70">
        <f>'Oplijsting (sub)categorieën KSZ'!C16</f>
        <v>3431288</v>
      </c>
      <c r="C34" s="70">
        <f>'Oplijsting (sub)categorieën KSZ'!D16</f>
        <v>3460962</v>
      </c>
      <c r="D34" s="70">
        <f>'Oplijsting (sub)categorieën KSZ'!E16</f>
        <v>3501575</v>
      </c>
      <c r="E34" s="70">
        <f>'Oplijsting (sub)categorieën KSZ'!F16</f>
        <v>3566422</v>
      </c>
      <c r="F34" s="70">
        <f>'Oplijsting (sub)categorieën KSZ'!G16</f>
        <v>3646646</v>
      </c>
      <c r="G34" s="70">
        <f>'Oplijsting (sub)categorieën KSZ'!H16</f>
        <v>3679558</v>
      </c>
      <c r="H34" s="70">
        <f>'Oplijsting (sub)categorieën KSZ'!I16</f>
        <v>3665867</v>
      </c>
      <c r="I34" s="70">
        <f>'Oplijsting (sub)categorieën KSZ'!J16</f>
        <v>3717768</v>
      </c>
      <c r="J34" s="70">
        <f>'Oplijsting (sub)categorieën KSZ'!K16</f>
        <v>3740447</v>
      </c>
      <c r="K34" s="70">
        <f>'Oplijsting (sub)categorieën KSZ'!L16</f>
        <v>3733131</v>
      </c>
      <c r="L34" s="70">
        <f>'Oplijsting (sub)categorieën KSZ'!M16</f>
        <v>3721153</v>
      </c>
      <c r="M34" s="70">
        <f>'Oplijsting (sub)categorieën KSZ'!N16</f>
        <v>3743258</v>
      </c>
      <c r="N34" s="70">
        <f>'Oplijsting (sub)categorieën KSZ'!O16</f>
        <v>3769678</v>
      </c>
      <c r="O34" s="70">
        <f>'Oplijsting (sub)categorieën KSZ'!P16</f>
        <v>3818849</v>
      </c>
      <c r="P34" s="70">
        <f>'Oplijsting (sub)categorieën KSZ'!Q16</f>
        <v>3876357</v>
      </c>
      <c r="Q34" s="70">
        <f>'Oplijsting (sub)categorieën KSZ'!R16</f>
        <v>3933049</v>
      </c>
      <c r="R34" s="70">
        <f>'Oplijsting (sub)categorieën KSZ'!S16</f>
        <v>3986725</v>
      </c>
      <c r="S34" s="70">
        <f>'Oplijsting (sub)categorieën KSZ'!T16</f>
        <v>3966758</v>
      </c>
      <c r="T34" s="70">
        <f>'Oplijsting (sub)categorieën KSZ'!U16</f>
        <v>4040443</v>
      </c>
      <c r="U34" s="70">
        <f>'Oplijsting (sub)categorieën KSZ'!V16</f>
        <v>4092156</v>
      </c>
      <c r="V34" s="70">
        <f>'Oplijsting (sub)categorieën KSZ'!W16</f>
        <v>4015175</v>
      </c>
      <c r="Y34" s="86"/>
      <c r="AB34" s="86"/>
      <c r="AE34" s="91"/>
      <c r="AF34" s="86"/>
      <c r="AH34" s="91"/>
      <c r="AI34" s="86"/>
    </row>
    <row r="35" spans="1:35" x14ac:dyDescent="0.3">
      <c r="A35" s="70" t="s">
        <v>128</v>
      </c>
      <c r="B35" s="73">
        <v>32469268.396650001</v>
      </c>
      <c r="C35" s="73">
        <v>33123848.60579</v>
      </c>
      <c r="D35" s="73">
        <v>34202276.429250002</v>
      </c>
      <c r="E35" s="73">
        <v>35153662.244000003</v>
      </c>
      <c r="F35" s="73">
        <v>37103312.221569993</v>
      </c>
      <c r="G35" s="73">
        <v>38476948.79958</v>
      </c>
      <c r="H35" s="73">
        <v>39261165.236699998</v>
      </c>
      <c r="I35" s="73">
        <v>39580643.798440017</v>
      </c>
      <c r="J35" s="73">
        <v>41462766.483000003</v>
      </c>
      <c r="K35" s="73">
        <v>43343818.894059993</v>
      </c>
      <c r="L35" s="73">
        <v>44275102.849219993</v>
      </c>
      <c r="M35" s="73">
        <v>45842493.395020001</v>
      </c>
      <c r="N35" s="73">
        <v>47640682.781880014</v>
      </c>
      <c r="O35" s="73">
        <v>47640622.342170008</v>
      </c>
      <c r="P35" s="73">
        <v>48995747.728340022</v>
      </c>
      <c r="Q35" s="73">
        <v>49961681.021519989</v>
      </c>
      <c r="R35" s="73">
        <v>51749904.124439999</v>
      </c>
      <c r="S35" s="73">
        <v>50773063.877800003</v>
      </c>
      <c r="T35" s="73">
        <v>53722777.372219868</v>
      </c>
      <c r="U35" s="73">
        <v>58532826.369349167</v>
      </c>
      <c r="V35" s="73">
        <v>62867871.943820201</v>
      </c>
      <c r="W35" s="73">
        <v>65768583.062982492</v>
      </c>
      <c r="X35" s="73">
        <v>68200925.783903718</v>
      </c>
      <c r="Y35" s="86"/>
      <c r="AB35" s="86"/>
      <c r="AE35" s="91"/>
      <c r="AF35" s="86"/>
      <c r="AH35" s="91"/>
      <c r="AI35" s="86"/>
    </row>
    <row r="36" spans="1:35" x14ac:dyDescent="0.3">
      <c r="A36" s="70" t="s">
        <v>127</v>
      </c>
      <c r="B36" s="73">
        <v>45740071.895230003</v>
      </c>
      <c r="C36" s="73">
        <v>49471194.458180003</v>
      </c>
      <c r="D36" s="73">
        <v>51489775.262560003</v>
      </c>
      <c r="E36" s="73">
        <v>53137694.574450001</v>
      </c>
      <c r="F36" s="73">
        <v>55551743.960129999</v>
      </c>
      <c r="G36" s="73">
        <v>55597964.64350085</v>
      </c>
      <c r="H36" s="73">
        <v>60005316.79828617</v>
      </c>
      <c r="I36" s="73">
        <v>62498799.437202722</v>
      </c>
      <c r="J36" s="73">
        <v>65753434.160070524</v>
      </c>
      <c r="K36" s="73">
        <v>67089304.179913342</v>
      </c>
      <c r="L36" s="73">
        <v>69743794.864972085</v>
      </c>
      <c r="M36" s="73">
        <v>73219534.039343894</v>
      </c>
      <c r="N36" s="73">
        <v>63212126.102489561</v>
      </c>
      <c r="O36" s="73">
        <v>65299032.636351019</v>
      </c>
      <c r="P36" s="73">
        <v>68913399.054115579</v>
      </c>
      <c r="Q36" s="73">
        <v>70920703.508738726</v>
      </c>
      <c r="R36" s="73">
        <v>73329306.571754724</v>
      </c>
      <c r="S36" s="73">
        <v>81169680.245554477</v>
      </c>
      <c r="T36" s="73">
        <v>81725543.139398187</v>
      </c>
      <c r="U36" s="73">
        <v>86385195.721542031</v>
      </c>
      <c r="V36" s="73">
        <v>93354528.159817308</v>
      </c>
      <c r="W36" s="73">
        <v>99309273.881186157</v>
      </c>
      <c r="X36" s="73">
        <v>105421945.60847655</v>
      </c>
      <c r="Y36" s="86"/>
      <c r="AB36" s="86"/>
      <c r="AE36" s="91"/>
      <c r="AF36" s="86"/>
      <c r="AH36" s="91"/>
      <c r="AI36" s="86"/>
    </row>
    <row r="37" spans="1:35" x14ac:dyDescent="0.3">
      <c r="A37" s="74" t="s">
        <v>129</v>
      </c>
      <c r="Y37" s="86"/>
      <c r="AB37" s="86"/>
      <c r="AE37" s="91"/>
      <c r="AF37" s="86"/>
      <c r="AH37" s="91"/>
      <c r="AI37" s="86"/>
    </row>
    <row r="38" spans="1:35" x14ac:dyDescent="0.3">
      <c r="A38" s="70" t="s">
        <v>128</v>
      </c>
      <c r="B38" s="70">
        <f t="shared" ref="B38:V38" si="32">B35*B4</f>
        <v>53570438.574205495</v>
      </c>
      <c r="C38" s="70">
        <f t="shared" si="32"/>
        <v>53526777.259925492</v>
      </c>
      <c r="D38" s="70">
        <f t="shared" si="32"/>
        <v>53775524.883521907</v>
      </c>
      <c r="E38" s="70">
        <f t="shared" si="32"/>
        <v>54301468.913169868</v>
      </c>
      <c r="F38" s="70">
        <f t="shared" si="32"/>
        <v>56285861.049357772</v>
      </c>
      <c r="G38" s="70">
        <f t="shared" si="32"/>
        <v>55860322.369395748</v>
      </c>
      <c r="H38" s="70">
        <f t="shared" si="32"/>
        <v>57030189.855378069</v>
      </c>
      <c r="I38" s="70">
        <f t="shared" si="32"/>
        <v>56262549.328733116</v>
      </c>
      <c r="J38" s="70">
        <f t="shared" si="32"/>
        <v>56927770.473279819</v>
      </c>
      <c r="K38" s="70">
        <f t="shared" si="32"/>
        <v>57867723.425396174</v>
      </c>
      <c r="L38" s="70">
        <f t="shared" si="32"/>
        <v>58460845.802110069</v>
      </c>
      <c r="M38" s="70">
        <f t="shared" si="32"/>
        <v>60325322.183360972</v>
      </c>
      <c r="N38" s="70">
        <f t="shared" si="32"/>
        <v>62343664.564117305</v>
      </c>
      <c r="O38" s="70">
        <f t="shared" si="32"/>
        <v>61137795.452037394</v>
      </c>
      <c r="P38" s="70">
        <f t="shared" si="32"/>
        <v>61566411.591644615</v>
      </c>
      <c r="Q38" s="70">
        <f t="shared" si="32"/>
        <v>61515669.172710739</v>
      </c>
      <c r="R38" s="70">
        <f t="shared" si="32"/>
        <v>62815382.796387725</v>
      </c>
      <c r="S38" s="70">
        <f t="shared" si="32"/>
        <v>61174152.335292555</v>
      </c>
      <c r="T38" s="70">
        <f t="shared" si="32"/>
        <v>63188629.291180387</v>
      </c>
      <c r="U38" s="70">
        <f t="shared" si="32"/>
        <v>62819429.357139431</v>
      </c>
      <c r="V38" s="70">
        <f t="shared" si="32"/>
        <v>64844118.069733702</v>
      </c>
      <c r="Y38" s="86"/>
      <c r="AB38" s="86"/>
      <c r="AE38" s="91"/>
      <c r="AF38" s="86"/>
      <c r="AH38" s="91"/>
      <c r="AI38" s="86"/>
    </row>
    <row r="39" spans="1:35" x14ac:dyDescent="0.3">
      <c r="A39" s="70" t="s">
        <v>127</v>
      </c>
      <c r="B39" s="70">
        <f t="shared" ref="B39:V39" si="33">B36*B4</f>
        <v>75465689.029690981</v>
      </c>
      <c r="C39" s="70">
        <f t="shared" si="33"/>
        <v>79943415.937560737</v>
      </c>
      <c r="D39" s="70">
        <f t="shared" si="33"/>
        <v>80956298.233727336</v>
      </c>
      <c r="E39" s="70">
        <f t="shared" si="33"/>
        <v>82081202.522348836</v>
      </c>
      <c r="F39" s="70">
        <f t="shared" si="33"/>
        <v>84272199.821869984</v>
      </c>
      <c r="G39" s="70">
        <f t="shared" si="33"/>
        <v>80716385.39337936</v>
      </c>
      <c r="H39" s="70">
        <f t="shared" si="33"/>
        <v>87162838.614364177</v>
      </c>
      <c r="I39" s="70">
        <f t="shared" si="33"/>
        <v>88839934.090733632</v>
      </c>
      <c r="J39" s="70">
        <f t="shared" si="33"/>
        <v>90278501.055378094</v>
      </c>
      <c r="K39" s="70">
        <f t="shared" si="33"/>
        <v>89569987.097227067</v>
      </c>
      <c r="L39" s="70">
        <f t="shared" si="33"/>
        <v>92089706.739709124</v>
      </c>
      <c r="M39" s="70">
        <f t="shared" si="33"/>
        <v>96351477.721297249</v>
      </c>
      <c r="N39" s="70">
        <f t="shared" si="33"/>
        <v>82720804.069105253</v>
      </c>
      <c r="O39" s="70">
        <f t="shared" si="33"/>
        <v>83799050.143879756</v>
      </c>
      <c r="P39" s="70">
        <f t="shared" si="33"/>
        <v>86594263.524033308</v>
      </c>
      <c r="Q39" s="70">
        <f t="shared" si="33"/>
        <v>87321612.190356791</v>
      </c>
      <c r="R39" s="70">
        <f t="shared" si="33"/>
        <v>89009024.082869023</v>
      </c>
      <c r="S39" s="70">
        <f t="shared" si="33"/>
        <v>97797651.059613213</v>
      </c>
      <c r="T39" s="70">
        <f t="shared" si="33"/>
        <v>96125429.504063204</v>
      </c>
      <c r="U39" s="70">
        <f t="shared" si="33"/>
        <v>92711543.876066089</v>
      </c>
      <c r="V39" s="70">
        <f t="shared" si="33"/>
        <v>96289119.691358045</v>
      </c>
      <c r="Y39" s="86"/>
      <c r="AB39" s="86"/>
      <c r="AE39" s="91"/>
      <c r="AF39" s="86"/>
      <c r="AH39" s="91"/>
      <c r="AI39" s="86"/>
    </row>
    <row r="40" spans="1:35" x14ac:dyDescent="0.3">
      <c r="A40" s="74" t="s">
        <v>233</v>
      </c>
      <c r="Y40" s="86"/>
      <c r="AB40" s="86"/>
      <c r="AE40" s="91"/>
      <c r="AF40" s="86"/>
      <c r="AH40" s="91"/>
      <c r="AI40" s="86"/>
    </row>
    <row r="41" spans="1:35" x14ac:dyDescent="0.3">
      <c r="A41" s="70" t="s">
        <v>128</v>
      </c>
      <c r="B41" s="70">
        <f>B38/B$33</f>
        <v>15.678334420848911</v>
      </c>
      <c r="C41" s="70">
        <f t="shared" ref="C41:V42" si="34">C38/C$33</f>
        <v>15.528862347313195</v>
      </c>
      <c r="D41" s="70">
        <f t="shared" si="34"/>
        <v>15.415854161429266</v>
      </c>
      <c r="E41" s="70">
        <f t="shared" si="34"/>
        <v>15.286263120190938</v>
      </c>
      <c r="F41" s="70">
        <f t="shared" si="34"/>
        <v>15.496534305324211</v>
      </c>
      <c r="G41" s="70">
        <f t="shared" si="34"/>
        <v>15.242829858800187</v>
      </c>
      <c r="H41" s="70">
        <f t="shared" si="34"/>
        <v>15.620536940235983</v>
      </c>
      <c r="I41" s="70">
        <f t="shared" si="34"/>
        <v>15.196750465249911</v>
      </c>
      <c r="J41" s="70">
        <f t="shared" si="34"/>
        <v>15.285035724640512</v>
      </c>
      <c r="K41" s="70">
        <f t="shared" si="34"/>
        <v>15.567448259911066</v>
      </c>
      <c r="L41" s="70">
        <f t="shared" si="34"/>
        <v>15.779263498041539</v>
      </c>
      <c r="M41" s="70">
        <f t="shared" si="34"/>
        <v>16.18630048840669</v>
      </c>
      <c r="N41" s="70">
        <f t="shared" si="34"/>
        <v>16.613130947190538</v>
      </c>
      <c r="O41" s="70">
        <f t="shared" si="34"/>
        <v>16.083141700649005</v>
      </c>
      <c r="P41" s="70">
        <f t="shared" si="34"/>
        <v>15.957822339621178</v>
      </c>
      <c r="Q41" s="70">
        <f t="shared" si="34"/>
        <v>15.716712669402996</v>
      </c>
      <c r="R41" s="70">
        <f t="shared" si="34"/>
        <v>15.834807474313239</v>
      </c>
      <c r="S41" s="70">
        <f t="shared" si="34"/>
        <v>15.500108023451679</v>
      </c>
      <c r="T41" s="70">
        <f t="shared" si="34"/>
        <v>15.722146959650603</v>
      </c>
      <c r="U41" s="70">
        <f>U38/U$33</f>
        <v>15.435359815741958</v>
      </c>
      <c r="V41" s="70">
        <f>V38/V$33</f>
        <v>16.239948806270192</v>
      </c>
      <c r="Y41" s="86"/>
      <c r="AB41" s="86"/>
      <c r="AE41" s="91"/>
      <c r="AF41" s="86"/>
      <c r="AH41" s="91"/>
      <c r="AI41" s="86"/>
    </row>
    <row r="42" spans="1:35" x14ac:dyDescent="0.3">
      <c r="A42" s="70" t="s">
        <v>127</v>
      </c>
      <c r="B42" s="70">
        <f>B39/B$33</f>
        <v>22.086365939833673</v>
      </c>
      <c r="C42" s="70">
        <f t="shared" si="34"/>
        <v>23.192696538407525</v>
      </c>
      <c r="D42" s="70">
        <f t="shared" si="34"/>
        <v>23.207778812452545</v>
      </c>
      <c r="E42" s="70">
        <f t="shared" si="34"/>
        <v>23.106462570738952</v>
      </c>
      <c r="F42" s="70">
        <f t="shared" si="34"/>
        <v>23.201688864270217</v>
      </c>
      <c r="G42" s="70">
        <f t="shared" si="34"/>
        <v>22.025403312793934</v>
      </c>
      <c r="H42" s="70">
        <f t="shared" si="34"/>
        <v>23.8738524953921</v>
      </c>
      <c r="I42" s="70">
        <f t="shared" si="34"/>
        <v>23.996038676417509</v>
      </c>
      <c r="J42" s="70">
        <f t="shared" si="34"/>
        <v>24.239665497635087</v>
      </c>
      <c r="K42" s="70">
        <f t="shared" si="34"/>
        <v>24.095921823754345</v>
      </c>
      <c r="L42" s="70">
        <f t="shared" si="34"/>
        <v>24.856084926003483</v>
      </c>
      <c r="M42" s="70">
        <f t="shared" si="34"/>
        <v>25.852725098733156</v>
      </c>
      <c r="N42" s="70">
        <f t="shared" si="34"/>
        <v>22.043162840445309</v>
      </c>
      <c r="O42" s="70">
        <f t="shared" si="34"/>
        <v>22.044497808252196</v>
      </c>
      <c r="P42" s="70">
        <f t="shared" si="34"/>
        <v>22.44496369404122</v>
      </c>
      <c r="Q42" s="70">
        <f t="shared" si="34"/>
        <v>22.309904241986146</v>
      </c>
      <c r="R42" s="70">
        <f t="shared" si="34"/>
        <v>22.43782807783499</v>
      </c>
      <c r="S42" s="70">
        <f t="shared" si="34"/>
        <v>24.779651176127555</v>
      </c>
      <c r="T42" s="70">
        <f t="shared" si="34"/>
        <v>23.917248184925523</v>
      </c>
      <c r="U42" s="70">
        <f t="shared" si="34"/>
        <v>22.780150240848862</v>
      </c>
      <c r="V42" s="70">
        <f t="shared" si="34"/>
        <v>24.115223106386207</v>
      </c>
      <c r="Y42" s="86"/>
      <c r="AB42" s="86"/>
      <c r="AE42" s="91"/>
      <c r="AF42" s="86"/>
      <c r="AH42" s="91"/>
      <c r="AI42" s="86"/>
    </row>
    <row r="43" spans="1:35" x14ac:dyDescent="0.3">
      <c r="A43" s="74" t="s">
        <v>131</v>
      </c>
      <c r="Y43" s="86"/>
      <c r="AB43" s="86"/>
      <c r="AE43" s="91"/>
      <c r="AF43" s="86"/>
      <c r="AH43" s="91"/>
      <c r="AI43" s="86"/>
    </row>
    <row r="44" spans="1:35" x14ac:dyDescent="0.3">
      <c r="A44" s="70" t="s">
        <v>126</v>
      </c>
      <c r="B44" s="70">
        <v>100</v>
      </c>
      <c r="C44" s="69">
        <f>C33/B33*B44</f>
        <v>100.88025649392934</v>
      </c>
      <c r="D44" s="69">
        <f t="shared" ref="D44:V44" si="35">D33/C33*C44</f>
        <v>102.09201763615263</v>
      </c>
      <c r="E44" s="69">
        <f t="shared" si="35"/>
        <v>103.96447600052095</v>
      </c>
      <c r="F44" s="69">
        <f t="shared" si="35"/>
        <v>106.30151499409541</v>
      </c>
      <c r="G44" s="69">
        <f t="shared" si="35"/>
        <v>107.25376773017211</v>
      </c>
      <c r="H44" s="69">
        <f t="shared" si="35"/>
        <v>106.85222771299253</v>
      </c>
      <c r="I44" s="69">
        <f t="shared" si="35"/>
        <v>108.3536127626509</v>
      </c>
      <c r="J44" s="69">
        <f t="shared" si="35"/>
        <v>109.00149114168184</v>
      </c>
      <c r="K44" s="69">
        <f t="shared" si="35"/>
        <v>108.79118016766927</v>
      </c>
      <c r="L44" s="69">
        <f t="shared" si="35"/>
        <v>108.43090628928145</v>
      </c>
      <c r="M44" s="69">
        <f t="shared" si="35"/>
        <v>109.07538972356073</v>
      </c>
      <c r="N44" s="69">
        <f t="shared" si="35"/>
        <v>109.82862845695367</v>
      </c>
      <c r="O44" s="69">
        <f t="shared" si="35"/>
        <v>111.25348091587409</v>
      </c>
      <c r="P44" s="69">
        <f t="shared" si="35"/>
        <v>112.91325769825667</v>
      </c>
      <c r="Q44" s="69">
        <f t="shared" si="35"/>
        <v>114.55096733975343</v>
      </c>
      <c r="R44" s="69">
        <f t="shared" si="35"/>
        <v>116.09885727915659</v>
      </c>
      <c r="S44" s="69">
        <f t="shared" si="35"/>
        <v>115.50690768823279</v>
      </c>
      <c r="T44" s="69">
        <f t="shared" si="35"/>
        <v>117.62558734739204</v>
      </c>
      <c r="U44" s="69">
        <f t="shared" si="35"/>
        <v>119.11102201007063</v>
      </c>
      <c r="V44" s="69">
        <f t="shared" si="35"/>
        <v>116.85859323440185</v>
      </c>
      <c r="Y44" s="86"/>
      <c r="AB44" s="86"/>
      <c r="AE44" s="91"/>
      <c r="AF44" s="86"/>
      <c r="AH44" s="91"/>
      <c r="AI44" s="86"/>
    </row>
    <row r="45" spans="1:35" x14ac:dyDescent="0.3">
      <c r="A45" s="70" t="s">
        <v>128</v>
      </c>
      <c r="B45" s="70">
        <v>100</v>
      </c>
      <c r="C45" s="69">
        <f>C41/B41*B45</f>
        <v>99.046632955239502</v>
      </c>
      <c r="D45" s="69">
        <f t="shared" ref="D45:T45" si="36">D41/C41*C45</f>
        <v>98.325840919233102</v>
      </c>
      <c r="E45" s="69">
        <f t="shared" si="36"/>
        <v>97.499279641996921</v>
      </c>
      <c r="F45" s="69">
        <f t="shared" si="36"/>
        <v>98.840437315312371</v>
      </c>
      <c r="G45" s="69">
        <f t="shared" si="36"/>
        <v>97.222252374782911</v>
      </c>
      <c r="H45" s="69">
        <f t="shared" si="36"/>
        <v>99.631354459845738</v>
      </c>
      <c r="I45" s="69">
        <f t="shared" si="36"/>
        <v>96.928347471918983</v>
      </c>
      <c r="J45" s="69">
        <f t="shared" si="36"/>
        <v>97.491451032672217</v>
      </c>
      <c r="K45" s="69">
        <f t="shared" si="36"/>
        <v>99.292742724058797</v>
      </c>
      <c r="L45" s="69">
        <f t="shared" si="36"/>
        <v>100.64374872026208</v>
      </c>
      <c r="M45" s="69">
        <f t="shared" si="36"/>
        <v>103.23992366741639</v>
      </c>
      <c r="N45" s="69">
        <f t="shared" si="36"/>
        <v>105.96234587966522</v>
      </c>
      <c r="O45" s="69">
        <f t="shared" si="36"/>
        <v>102.58195334360121</v>
      </c>
      <c r="P45" s="69">
        <f t="shared" si="36"/>
        <v>101.78263781898032</v>
      </c>
      <c r="Q45" s="69">
        <f t="shared" si="36"/>
        <v>100.24478524008931</v>
      </c>
      <c r="R45" s="69">
        <f t="shared" si="36"/>
        <v>100.99802089472109</v>
      </c>
      <c r="S45" s="69">
        <f t="shared" si="36"/>
        <v>98.863231306252558</v>
      </c>
      <c r="T45" s="69">
        <f t="shared" si="36"/>
        <v>100.2794463852195</v>
      </c>
      <c r="U45" s="69">
        <f>U41/T41*T45</f>
        <v>98.450252440183618</v>
      </c>
      <c r="V45" s="69">
        <f>V41/U41*U45</f>
        <v>103.58210489932173</v>
      </c>
      <c r="Y45" s="89">
        <f>M45-B45</f>
        <v>3.2399236674163916</v>
      </c>
      <c r="Z45" s="69">
        <f>N45-M45</f>
        <v>2.72242221224883</v>
      </c>
      <c r="AA45" s="69">
        <f>R45-N45</f>
        <v>-4.9643249849441276</v>
      </c>
      <c r="AB45" s="89">
        <f>R45-B45</f>
        <v>0.99802089472109401</v>
      </c>
      <c r="AC45" s="69">
        <f>S45-R45</f>
        <v>-2.1347895884685357</v>
      </c>
      <c r="AD45" s="69">
        <f>U45-S45</f>
        <v>-0.41297886606893996</v>
      </c>
      <c r="AE45" s="92">
        <f>U45-R45</f>
        <v>-2.5477684545374757</v>
      </c>
      <c r="AF45" s="89">
        <f>U45-B45</f>
        <v>-1.5497475598163817</v>
      </c>
      <c r="AG45" s="69">
        <f>V45-U45</f>
        <v>5.1318524591381163</v>
      </c>
      <c r="AH45" s="92">
        <f>V45-R45</f>
        <v>2.5840840046006406</v>
      </c>
      <c r="AI45" s="88">
        <f>(V45-B45)</f>
        <v>3.5821048993217346</v>
      </c>
    </row>
    <row r="46" spans="1:35" x14ac:dyDescent="0.3">
      <c r="A46" s="70" t="s">
        <v>127</v>
      </c>
      <c r="B46" s="70">
        <v>100</v>
      </c>
      <c r="C46" s="69">
        <f>C42/B42*B46</f>
        <v>105.00911105787006</v>
      </c>
      <c r="D46" s="69">
        <f t="shared" ref="D46:V46" si="37">D42/C42*C46</f>
        <v>105.07739877023572</v>
      </c>
      <c r="E46" s="69">
        <f t="shared" si="37"/>
        <v>104.61867123674473</v>
      </c>
      <c r="F46" s="69">
        <f t="shared" si="37"/>
        <v>105.0498254329157</v>
      </c>
      <c r="G46" s="69">
        <f t="shared" si="37"/>
        <v>99.723980725458389</v>
      </c>
      <c r="H46" s="69">
        <f t="shared" si="37"/>
        <v>108.09316734327319</v>
      </c>
      <c r="I46" s="69">
        <f t="shared" si="37"/>
        <v>108.64638728610245</v>
      </c>
      <c r="J46" s="69">
        <f t="shared" si="37"/>
        <v>109.7494516013513</v>
      </c>
      <c r="K46" s="69">
        <f t="shared" si="37"/>
        <v>109.09862622667299</v>
      </c>
      <c r="L46" s="69">
        <f t="shared" si="37"/>
        <v>112.54040159306838</v>
      </c>
      <c r="M46" s="69">
        <f t="shared" si="37"/>
        <v>117.05286949043393</v>
      </c>
      <c r="N46" s="69">
        <f t="shared" si="37"/>
        <v>99.804390185755096</v>
      </c>
      <c r="O46" s="69">
        <f t="shared" si="37"/>
        <v>99.810434492955849</v>
      </c>
      <c r="P46" s="69">
        <f t="shared" si="37"/>
        <v>101.62361592298355</v>
      </c>
      <c r="Q46" s="69">
        <f t="shared" si="37"/>
        <v>101.01210992682739</v>
      </c>
      <c r="R46" s="69">
        <f t="shared" si="37"/>
        <v>101.59130813533905</v>
      </c>
      <c r="S46" s="69">
        <f t="shared" si="37"/>
        <v>112.19433402321947</v>
      </c>
      <c r="T46" s="69">
        <f t="shared" si="37"/>
        <v>108.28964914408934</v>
      </c>
      <c r="U46" s="69">
        <f t="shared" si="37"/>
        <v>103.14123338762549</v>
      </c>
      <c r="V46" s="69">
        <f t="shared" si="37"/>
        <v>109.18601626034555</v>
      </c>
      <c r="Y46" s="89">
        <f>M46-B46</f>
        <v>17.052869490433935</v>
      </c>
      <c r="Z46" s="69">
        <f>N46-M46</f>
        <v>-17.248479304678838</v>
      </c>
      <c r="AA46" s="69">
        <f>R46-N46</f>
        <v>1.7869179495839518</v>
      </c>
      <c r="AB46" s="89">
        <f>R46-B46</f>
        <v>1.5913081353390481</v>
      </c>
      <c r="AC46" s="69">
        <f>S46-R46</f>
        <v>10.60302588788042</v>
      </c>
      <c r="AD46" s="69">
        <f>U46-S46</f>
        <v>-9.053100635593978</v>
      </c>
      <c r="AE46" s="92">
        <f>U46-R46</f>
        <v>1.5499252522864424</v>
      </c>
      <c r="AF46" s="89">
        <f>U46-B46</f>
        <v>3.1412333876254905</v>
      </c>
      <c r="AG46" s="69">
        <f>V46-U46</f>
        <v>6.044782872720063</v>
      </c>
      <c r="AH46" s="92">
        <f>V46-R46</f>
        <v>7.5947081250065054</v>
      </c>
      <c r="AI46" s="88">
        <f>(V46-B46)</f>
        <v>9.1860162603455535</v>
      </c>
    </row>
    <row r="47" spans="1:35" x14ac:dyDescent="0.3">
      <c r="A47" s="74" t="s">
        <v>133</v>
      </c>
      <c r="B47" s="69">
        <f>B41/B42</f>
        <v>0.70986483079918494</v>
      </c>
      <c r="C47" s="69">
        <f t="shared" ref="C47:V47" si="38">C41/C42</f>
        <v>0.66955829485360263</v>
      </c>
      <c r="D47" s="69">
        <f t="shared" si="38"/>
        <v>0.66425375241673779</v>
      </c>
      <c r="E47" s="69">
        <f t="shared" si="38"/>
        <v>0.66155791148874588</v>
      </c>
      <c r="F47" s="69">
        <f t="shared" si="38"/>
        <v>0.66790544412429942</v>
      </c>
      <c r="G47" s="69">
        <f t="shared" si="38"/>
        <v>0.69205678744352706</v>
      </c>
      <c r="H47" s="69">
        <f t="shared" si="38"/>
        <v>0.65429477472271835</v>
      </c>
      <c r="I47" s="69">
        <f t="shared" si="38"/>
        <v>0.63330246588511963</v>
      </c>
      <c r="J47" s="69">
        <f t="shared" si="38"/>
        <v>0.63057948246570383</v>
      </c>
      <c r="K47" s="69">
        <f t="shared" si="38"/>
        <v>0.64606153579749326</v>
      </c>
      <c r="L47" s="69">
        <f t="shared" si="38"/>
        <v>0.63482497525319759</v>
      </c>
      <c r="M47" s="69">
        <f t="shared" si="38"/>
        <v>0.62609649182398408</v>
      </c>
      <c r="N47" s="69">
        <f t="shared" si="38"/>
        <v>0.75366366738934476</v>
      </c>
      <c r="O47" s="69">
        <f t="shared" si="38"/>
        <v>0.72957623442110797</v>
      </c>
      <c r="P47" s="69">
        <f t="shared" si="38"/>
        <v>0.71097563610039272</v>
      </c>
      <c r="Q47" s="69">
        <f t="shared" si="38"/>
        <v>0.70447243963624517</v>
      </c>
      <c r="R47" s="69">
        <f t="shared" si="38"/>
        <v>0.70571926210431724</v>
      </c>
      <c r="S47" s="69">
        <f t="shared" si="38"/>
        <v>0.62551760366926845</v>
      </c>
      <c r="T47" s="69">
        <f t="shared" si="38"/>
        <v>0.65735601512718767</v>
      </c>
      <c r="U47" s="69">
        <f t="shared" si="38"/>
        <v>0.67757936855322454</v>
      </c>
      <c r="V47" s="69">
        <f t="shared" si="38"/>
        <v>0.67343141444830834</v>
      </c>
      <c r="Y47" s="87">
        <f>(M47-B47)/B47</f>
        <v>-0.11800604191208094</v>
      </c>
      <c r="Z47" s="79">
        <f>(N47-M47)/M47</f>
        <v>0.20375002452692856</v>
      </c>
      <c r="AA47" s="79">
        <f>(R47-N47)/N47</f>
        <v>-6.3615120855042243E-2</v>
      </c>
      <c r="AB47" s="87">
        <f>(R47-B47)/B47</f>
        <v>-5.839940950730739E-3</v>
      </c>
      <c r="AE47" s="93">
        <f>(U47-R47)/R47</f>
        <v>-3.9874061914060586E-2</v>
      </c>
      <c r="AF47" s="87">
        <f>(U47-B47)/B47</f>
        <v>-4.5481140697747433E-2</v>
      </c>
      <c r="AG47" s="79">
        <f>(V47-U47)/U47</f>
        <v>-6.1217243284324855E-3</v>
      </c>
      <c r="AH47" s="93">
        <f>(V47-R47)/V47</f>
        <v>-4.7945265045973386E-2</v>
      </c>
      <c r="AI47" s="87">
        <f>(V47-B47)/B47</f>
        <v>-5.1324442020685659E-2</v>
      </c>
    </row>
    <row r="48" spans="1:35" x14ac:dyDescent="0.3">
      <c r="A48" s="74" t="s">
        <v>134</v>
      </c>
      <c r="B48" s="69">
        <f>1-B47</f>
        <v>0.29013516920081506</v>
      </c>
      <c r="C48" s="69">
        <f t="shared" ref="C48" si="39">1-C47</f>
        <v>0.33044170514639737</v>
      </c>
      <c r="D48" s="69">
        <f t="shared" ref="D48" si="40">1-D47</f>
        <v>0.33574624758326221</v>
      </c>
      <c r="E48" s="69">
        <f t="shared" ref="E48" si="41">1-E47</f>
        <v>0.33844208851125412</v>
      </c>
      <c r="F48" s="69">
        <f t="shared" ref="F48" si="42">1-F47</f>
        <v>0.33209455587570058</v>
      </c>
      <c r="G48" s="69">
        <f t="shared" ref="G48" si="43">1-G47</f>
        <v>0.30794321255647294</v>
      </c>
      <c r="H48" s="69">
        <f t="shared" ref="H48" si="44">1-H47</f>
        <v>0.34570522527728165</v>
      </c>
      <c r="I48" s="69">
        <f t="shared" ref="I48" si="45">1-I47</f>
        <v>0.36669753411488037</v>
      </c>
      <c r="J48" s="69">
        <f t="shared" ref="J48" si="46">1-J47</f>
        <v>0.36942051753429617</v>
      </c>
      <c r="K48" s="69">
        <f t="shared" ref="K48" si="47">1-K47</f>
        <v>0.35393846420250674</v>
      </c>
      <c r="L48" s="69">
        <f t="shared" ref="L48" si="48">1-L47</f>
        <v>0.36517502474680241</v>
      </c>
      <c r="M48" s="69">
        <f t="shared" ref="M48" si="49">1-M47</f>
        <v>0.37390350817601592</v>
      </c>
      <c r="N48" s="69">
        <f t="shared" ref="N48" si="50">1-N47</f>
        <v>0.24633633261065524</v>
      </c>
      <c r="O48" s="69">
        <f t="shared" ref="O48" si="51">1-O47</f>
        <v>0.27042376557889203</v>
      </c>
      <c r="P48" s="69">
        <f t="shared" ref="P48" si="52">1-P47</f>
        <v>0.28902436389960728</v>
      </c>
      <c r="Q48" s="69">
        <f t="shared" ref="Q48" si="53">1-Q47</f>
        <v>0.29552756036375483</v>
      </c>
      <c r="R48" s="69">
        <f t="shared" ref="R48" si="54">1-R47</f>
        <v>0.29428073789568276</v>
      </c>
      <c r="S48" s="69">
        <f t="shared" ref="S48" si="55">1-S47</f>
        <v>0.37448239633073155</v>
      </c>
      <c r="T48" s="69">
        <f t="shared" ref="T48" si="56">1-T47</f>
        <v>0.34264398487281233</v>
      </c>
      <c r="U48" s="69">
        <f t="shared" ref="U48:V48" si="57">1-U47</f>
        <v>0.32242063144677546</v>
      </c>
      <c r="V48" s="69">
        <f t="shared" si="57"/>
        <v>0.32656858555169166</v>
      </c>
      <c r="Y48" s="86"/>
      <c r="AB48" s="86"/>
      <c r="AE48" s="91"/>
      <c r="AF48" s="86"/>
      <c r="AH48" s="91"/>
      <c r="AI48" s="86"/>
    </row>
    <row r="49" spans="1:35" x14ac:dyDescent="0.3">
      <c r="A49" s="74" t="s">
        <v>234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Y49" s="86"/>
      <c r="AB49" s="86"/>
      <c r="AE49" s="91"/>
      <c r="AF49" s="86"/>
      <c r="AH49" s="91"/>
      <c r="AI49" s="86"/>
    </row>
    <row r="50" spans="1:35" x14ac:dyDescent="0.3">
      <c r="A50" s="70" t="s">
        <v>128</v>
      </c>
      <c r="B50" s="69">
        <f>B38/B$34</f>
        <v>15.612341072566773</v>
      </c>
      <c r="C50" s="69">
        <f t="shared" ref="C50:V50" si="58">C38/C$34</f>
        <v>15.465866790772477</v>
      </c>
      <c r="D50" s="69">
        <f t="shared" si="58"/>
        <v>15.357524794848578</v>
      </c>
      <c r="E50" s="69">
        <f t="shared" si="58"/>
        <v>15.225755368593472</v>
      </c>
      <c r="F50" s="69">
        <f t="shared" si="58"/>
        <v>15.434967103842208</v>
      </c>
      <c r="G50" s="69">
        <f t="shared" si="58"/>
        <v>15.181258827662385</v>
      </c>
      <c r="H50" s="69">
        <f t="shared" si="58"/>
        <v>15.557081000313996</v>
      </c>
      <c r="I50" s="69">
        <f t="shared" si="58"/>
        <v>15.133421270163474</v>
      </c>
      <c r="J50" s="69">
        <f t="shared" si="58"/>
        <v>15.219509987250138</v>
      </c>
      <c r="K50" s="69">
        <f t="shared" si="58"/>
        <v>15.501123165888412</v>
      </c>
      <c r="L50" s="69">
        <f t="shared" si="58"/>
        <v>15.710411746603826</v>
      </c>
      <c r="M50" s="69">
        <f t="shared" si="58"/>
        <v>16.115726509730553</v>
      </c>
      <c r="N50" s="69">
        <f t="shared" si="58"/>
        <v>16.538193597468354</v>
      </c>
      <c r="O50" s="69">
        <f t="shared" si="58"/>
        <v>16.009482294805945</v>
      </c>
      <c r="P50" s="69">
        <f t="shared" si="58"/>
        <v>15.882544252669353</v>
      </c>
      <c r="Q50" s="69">
        <f t="shared" si="58"/>
        <v>15.640707545904142</v>
      </c>
      <c r="R50" s="69">
        <f t="shared" si="58"/>
        <v>15.756136376697095</v>
      </c>
      <c r="S50" s="69">
        <f t="shared" si="58"/>
        <v>15.421700122692776</v>
      </c>
      <c r="T50" s="69">
        <f t="shared" si="58"/>
        <v>15.639034950172638</v>
      </c>
      <c r="U50" s="69">
        <f t="shared" si="58"/>
        <v>15.351181469411095</v>
      </c>
      <c r="V50" s="69">
        <f t="shared" si="58"/>
        <v>16.14976136027289</v>
      </c>
      <c r="Y50" s="86"/>
      <c r="AB50" s="86"/>
      <c r="AE50" s="91"/>
      <c r="AF50" s="86"/>
      <c r="AH50" s="91"/>
      <c r="AI50" s="86"/>
    </row>
    <row r="51" spans="1:35" x14ac:dyDescent="0.3">
      <c r="A51" s="70" t="s">
        <v>127</v>
      </c>
      <c r="B51" s="69">
        <f>B39/B$34</f>
        <v>21.993399863168285</v>
      </c>
      <c r="C51" s="69">
        <f t="shared" ref="C51:V51" si="59">C39/C$34</f>
        <v>23.098611292918193</v>
      </c>
      <c r="D51" s="69">
        <f t="shared" si="59"/>
        <v>23.119966938799635</v>
      </c>
      <c r="E51" s="69">
        <f t="shared" si="59"/>
        <v>23.015000053933282</v>
      </c>
      <c r="F51" s="69">
        <f t="shared" si="59"/>
        <v>23.109509346909459</v>
      </c>
      <c r="G51" s="69">
        <f t="shared" si="59"/>
        <v>21.936435135247049</v>
      </c>
      <c r="H51" s="69">
        <f t="shared" si="59"/>
        <v>23.776868777389954</v>
      </c>
      <c r="I51" s="69">
        <f t="shared" si="59"/>
        <v>23.896040336764862</v>
      </c>
      <c r="J51" s="69">
        <f t="shared" si="59"/>
        <v>24.135751971723725</v>
      </c>
      <c r="K51" s="69">
        <f t="shared" si="59"/>
        <v>23.993261178680058</v>
      </c>
      <c r="L51" s="69">
        <f t="shared" si="59"/>
        <v>24.747627076798274</v>
      </c>
      <c r="M51" s="69">
        <f t="shared" si="59"/>
        <v>25.740004488415504</v>
      </c>
      <c r="N51" s="69">
        <f t="shared" si="59"/>
        <v>21.943732082449813</v>
      </c>
      <c r="O51" s="69">
        <f t="shared" si="59"/>
        <v>21.943535904111357</v>
      </c>
      <c r="P51" s="69">
        <f t="shared" si="59"/>
        <v>22.339083712886431</v>
      </c>
      <c r="Q51" s="69">
        <f t="shared" si="59"/>
        <v>22.202014821162102</v>
      </c>
      <c r="R51" s="69">
        <f t="shared" si="59"/>
        <v>22.326351600090053</v>
      </c>
      <c r="S51" s="69">
        <f t="shared" si="59"/>
        <v>24.654302344537584</v>
      </c>
      <c r="T51" s="69">
        <f t="shared" si="59"/>
        <v>23.790814399327797</v>
      </c>
      <c r="U51" s="69">
        <f t="shared" si="59"/>
        <v>22.655916313079484</v>
      </c>
      <c r="V51" s="69">
        <f t="shared" si="59"/>
        <v>23.981300862691675</v>
      </c>
      <c r="Y51" s="86"/>
      <c r="AB51" s="86"/>
      <c r="AE51" s="91"/>
      <c r="AF51" s="86"/>
      <c r="AH51" s="91"/>
      <c r="AI51" s="86"/>
    </row>
    <row r="52" spans="1:35" x14ac:dyDescent="0.3">
      <c r="A52" s="74" t="s">
        <v>131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Y52" s="86"/>
      <c r="AB52" s="86"/>
      <c r="AE52" s="91"/>
      <c r="AF52" s="86"/>
      <c r="AH52" s="91"/>
      <c r="AI52" s="86"/>
    </row>
    <row r="53" spans="1:35" x14ac:dyDescent="0.3">
      <c r="A53" s="70" t="s">
        <v>126</v>
      </c>
      <c r="B53" s="70">
        <v>100</v>
      </c>
      <c r="C53" s="69">
        <f>C34/B34*B53</f>
        <v>100.86480645168811</v>
      </c>
      <c r="D53" s="69">
        <f t="shared" ref="D53:V53" si="60">D34/C34*C53</f>
        <v>102.04841447293261</v>
      </c>
      <c r="E53" s="69">
        <f t="shared" si="60"/>
        <v>103.93828789655663</v>
      </c>
      <c r="F53" s="69">
        <f t="shared" si="60"/>
        <v>106.2763020766546</v>
      </c>
      <c r="G53" s="69">
        <f t="shared" si="60"/>
        <v>107.23547542497161</v>
      </c>
      <c r="H53" s="69">
        <f t="shared" si="60"/>
        <v>106.83647073635322</v>
      </c>
      <c r="I53" s="69">
        <f t="shared" si="60"/>
        <v>108.34905143491306</v>
      </c>
      <c r="J53" s="69">
        <f t="shared" si="60"/>
        <v>109.00999857779351</v>
      </c>
      <c r="K53" s="69">
        <f t="shared" si="60"/>
        <v>108.79678418133363</v>
      </c>
      <c r="L53" s="69">
        <f t="shared" si="60"/>
        <v>108.44770243710231</v>
      </c>
      <c r="M53" s="69">
        <f t="shared" si="60"/>
        <v>109.09192116779469</v>
      </c>
      <c r="N53" s="69">
        <f t="shared" si="60"/>
        <v>109.86189442565006</v>
      </c>
      <c r="O53" s="69">
        <f t="shared" si="60"/>
        <v>111.29491316380319</v>
      </c>
      <c r="P53" s="69">
        <f t="shared" si="60"/>
        <v>112.9709018887368</v>
      </c>
      <c r="Q53" s="69">
        <f t="shared" si="60"/>
        <v>114.62310945627412</v>
      </c>
      <c r="R53" s="69">
        <f t="shared" si="60"/>
        <v>116.18742000088594</v>
      </c>
      <c r="S53" s="69">
        <f t="shared" si="60"/>
        <v>115.60551023405785</v>
      </c>
      <c r="T53" s="69">
        <f t="shared" si="60"/>
        <v>117.75295457565785</v>
      </c>
      <c r="U53" s="69">
        <f t="shared" si="60"/>
        <v>119.26005628207247</v>
      </c>
      <c r="V53" s="69">
        <f t="shared" si="60"/>
        <v>117.0165547164796</v>
      </c>
      <c r="Y53" s="86"/>
      <c r="AB53" s="86"/>
      <c r="AE53" s="91"/>
      <c r="AF53" s="86"/>
      <c r="AH53" s="91"/>
      <c r="AI53" s="86"/>
    </row>
    <row r="54" spans="1:35" x14ac:dyDescent="0.3">
      <c r="A54" s="70" t="s">
        <v>128</v>
      </c>
      <c r="B54" s="70">
        <v>100</v>
      </c>
      <c r="C54" s="69">
        <f>C50/B50*B54</f>
        <v>99.06180449739422</v>
      </c>
      <c r="D54" s="69">
        <f t="shared" ref="D54:V54" si="61">D50/C50*C54</f>
        <v>98.36785350426436</v>
      </c>
      <c r="E54" s="69">
        <f t="shared" si="61"/>
        <v>97.523845385029475</v>
      </c>
      <c r="F54" s="69">
        <f t="shared" si="61"/>
        <v>98.863886153267316</v>
      </c>
      <c r="G54" s="69">
        <f t="shared" si="61"/>
        <v>97.23883661713063</v>
      </c>
      <c r="H54" s="69">
        <f t="shared" si="61"/>
        <v>99.646048776439571</v>
      </c>
      <c r="I54" s="69">
        <f t="shared" si="61"/>
        <v>96.932428005657442</v>
      </c>
      <c r="J54" s="69">
        <f t="shared" si="61"/>
        <v>97.483842535269119</v>
      </c>
      <c r="K54" s="69">
        <f t="shared" si="61"/>
        <v>99.287628254075329</v>
      </c>
      <c r="L54" s="69">
        <f t="shared" si="61"/>
        <v>100.62816123207418</v>
      </c>
      <c r="M54" s="69">
        <f t="shared" si="61"/>
        <v>103.22427901635014</v>
      </c>
      <c r="N54" s="69">
        <f t="shared" si="61"/>
        <v>105.93026068671051</v>
      </c>
      <c r="O54" s="69">
        <f t="shared" si="61"/>
        <v>102.54376470763258</v>
      </c>
      <c r="P54" s="69">
        <f t="shared" si="61"/>
        <v>101.73070251826213</v>
      </c>
      <c r="Q54" s="69">
        <f t="shared" si="61"/>
        <v>100.18169263152481</v>
      </c>
      <c r="R54" s="69">
        <f t="shared" si="61"/>
        <v>100.92103614353519</v>
      </c>
      <c r="S54" s="69">
        <f t="shared" si="61"/>
        <v>98.77890862755379</v>
      </c>
      <c r="T54" s="69">
        <f t="shared" si="61"/>
        <v>100.17097933924066</v>
      </c>
      <c r="U54" s="69">
        <f t="shared" si="61"/>
        <v>98.327223304040118</v>
      </c>
      <c r="V54" s="69">
        <f t="shared" si="61"/>
        <v>103.44227867690167</v>
      </c>
      <c r="Y54" s="89">
        <f>M54-B54</f>
        <v>3.2242790163501382</v>
      </c>
      <c r="Z54" s="69">
        <f>N54-M54</f>
        <v>2.705981670360373</v>
      </c>
      <c r="AA54" s="69">
        <f>R54-N54</f>
        <v>-5.0092245431753213</v>
      </c>
      <c r="AB54" s="89">
        <f>R54-B54</f>
        <v>0.92103614353518992</v>
      </c>
      <c r="AC54" s="69">
        <f>S54-R54</f>
        <v>-2.1421275159814002</v>
      </c>
      <c r="AD54" s="69">
        <f>U54-S54</f>
        <v>-0.45168532351367219</v>
      </c>
      <c r="AE54" s="92">
        <f>U54-R54</f>
        <v>-2.5938128394950724</v>
      </c>
      <c r="AF54" s="89">
        <f>U54-B54</f>
        <v>-1.6727766959598824</v>
      </c>
      <c r="AG54" s="69">
        <f>V54-U54</f>
        <v>5.1150553728615478</v>
      </c>
      <c r="AH54" s="92">
        <f>V54-R54</f>
        <v>2.5212425333664754</v>
      </c>
      <c r="AI54" s="88">
        <f>(V54-B54)</f>
        <v>3.4422786769016653</v>
      </c>
    </row>
    <row r="55" spans="1:35" x14ac:dyDescent="0.3">
      <c r="A55" s="70" t="s">
        <v>127</v>
      </c>
      <c r="B55" s="70">
        <v>100</v>
      </c>
      <c r="C55" s="69">
        <f>C51/B51*B55</f>
        <v>105.02519590707197</v>
      </c>
      <c r="D55" s="69">
        <f t="shared" ref="D55:V55" si="62">D51/C51*C55</f>
        <v>105.12229615539331</v>
      </c>
      <c r="E55" s="69">
        <f t="shared" si="62"/>
        <v>104.64503076887097</v>
      </c>
      <c r="F55" s="69">
        <f t="shared" si="62"/>
        <v>105.07474738187381</v>
      </c>
      <c r="G55" s="69">
        <f t="shared" si="62"/>
        <v>99.740991714443226</v>
      </c>
      <c r="H55" s="69">
        <f t="shared" si="62"/>
        <v>108.1091096661612</v>
      </c>
      <c r="I55" s="69">
        <f t="shared" si="62"/>
        <v>108.65096113122041</v>
      </c>
      <c r="J55" s="69">
        <f t="shared" si="62"/>
        <v>109.74088645631898</v>
      </c>
      <c r="K55" s="69">
        <f t="shared" si="62"/>
        <v>109.09300666542639</v>
      </c>
      <c r="L55" s="69">
        <f t="shared" si="62"/>
        <v>112.52297157677022</v>
      </c>
      <c r="M55" s="69">
        <f t="shared" si="62"/>
        <v>117.03513166930387</v>
      </c>
      <c r="N55" s="69">
        <f t="shared" si="62"/>
        <v>99.77416960984894</v>
      </c>
      <c r="O55" s="69">
        <f t="shared" si="62"/>
        <v>99.773277622526948</v>
      </c>
      <c r="P55" s="69">
        <f t="shared" si="62"/>
        <v>101.57176176429661</v>
      </c>
      <c r="Q55" s="69">
        <f t="shared" si="62"/>
        <v>100.9485343752749</v>
      </c>
      <c r="R55" s="69">
        <f t="shared" si="62"/>
        <v>101.51387115677076</v>
      </c>
      <c r="S55" s="69">
        <f t="shared" si="62"/>
        <v>112.09864094648428</v>
      </c>
      <c r="T55" s="69">
        <f t="shared" si="62"/>
        <v>108.17251787964618</v>
      </c>
      <c r="U55" s="69">
        <f t="shared" si="62"/>
        <v>103.0123421300619</v>
      </c>
      <c r="V55" s="69">
        <f t="shared" si="62"/>
        <v>109.03862527799744</v>
      </c>
      <c r="Y55" s="89">
        <f>M55-B55</f>
        <v>17.035131669303865</v>
      </c>
      <c r="Z55" s="69">
        <f>N55-M55</f>
        <v>-17.260962059454926</v>
      </c>
      <c r="AA55" s="69">
        <f>R55-N55</f>
        <v>1.7397015469218218</v>
      </c>
      <c r="AB55" s="89">
        <f>R55-B55</f>
        <v>1.5138711567707617</v>
      </c>
      <c r="AC55" s="69">
        <f>S55-R55</f>
        <v>10.584769789713519</v>
      </c>
      <c r="AD55" s="69">
        <f>U55-S55</f>
        <v>-9.086298816422385</v>
      </c>
      <c r="AE55" s="92">
        <f>U55-R55</f>
        <v>1.4984709732911341</v>
      </c>
      <c r="AF55" s="89">
        <f>U55-B55</f>
        <v>3.0123421300618958</v>
      </c>
      <c r="AG55" s="69">
        <f>V55-U55</f>
        <v>6.0262831479355441</v>
      </c>
      <c r="AH55" s="92">
        <f>V55-R55</f>
        <v>7.5247541212266782</v>
      </c>
      <c r="AI55" s="88">
        <f>(V55-B55)</f>
        <v>9.0386252779974399</v>
      </c>
    </row>
    <row r="56" spans="1:35" x14ac:dyDescent="0.3">
      <c r="A56" s="74" t="s">
        <v>133</v>
      </c>
      <c r="B56" s="69">
        <f>B50/B51</f>
        <v>0.70986483079918494</v>
      </c>
      <c r="C56" s="69">
        <f t="shared" ref="C56:V56" si="63">C50/C51</f>
        <v>0.66955829485360274</v>
      </c>
      <c r="D56" s="69">
        <f t="shared" si="63"/>
        <v>0.6642537524167379</v>
      </c>
      <c r="E56" s="69">
        <f t="shared" si="63"/>
        <v>0.66155791148874576</v>
      </c>
      <c r="F56" s="69">
        <f t="shared" si="63"/>
        <v>0.66790544412429931</v>
      </c>
      <c r="G56" s="69">
        <f t="shared" si="63"/>
        <v>0.69205678744352706</v>
      </c>
      <c r="H56" s="69">
        <f t="shared" si="63"/>
        <v>0.65429477472271835</v>
      </c>
      <c r="I56" s="69">
        <f t="shared" si="63"/>
        <v>0.63330246588511974</v>
      </c>
      <c r="J56" s="69">
        <f t="shared" si="63"/>
        <v>0.63057948246570383</v>
      </c>
      <c r="K56" s="69">
        <f t="shared" si="63"/>
        <v>0.64606153579749326</v>
      </c>
      <c r="L56" s="69">
        <f t="shared" si="63"/>
        <v>0.63482497525319759</v>
      </c>
      <c r="M56" s="69">
        <f t="shared" si="63"/>
        <v>0.62609649182398419</v>
      </c>
      <c r="N56" s="69">
        <f t="shared" si="63"/>
        <v>0.75366366738934498</v>
      </c>
      <c r="O56" s="69">
        <f t="shared" si="63"/>
        <v>0.72957623442110786</v>
      </c>
      <c r="P56" s="69">
        <f t="shared" si="63"/>
        <v>0.71097563610039272</v>
      </c>
      <c r="Q56" s="69">
        <f t="shared" si="63"/>
        <v>0.70447243963624528</v>
      </c>
      <c r="R56" s="69">
        <f t="shared" si="63"/>
        <v>0.70571926210431724</v>
      </c>
      <c r="S56" s="69">
        <f t="shared" si="63"/>
        <v>0.62551760366926845</v>
      </c>
      <c r="T56" s="69">
        <f t="shared" si="63"/>
        <v>0.65735601512718767</v>
      </c>
      <c r="U56" s="69">
        <f t="shared" si="63"/>
        <v>0.67757936855322454</v>
      </c>
      <c r="V56" s="69">
        <f t="shared" si="63"/>
        <v>0.67343141444830823</v>
      </c>
      <c r="Y56" s="87">
        <f>(M56-B56)/B56</f>
        <v>-0.11800604191208078</v>
      </c>
      <c r="Z56" s="79">
        <f>(N56-M56)/M56</f>
        <v>0.2037500245269287</v>
      </c>
      <c r="AA56" s="79">
        <f>(R56-N56)/N56</f>
        <v>-6.361512085504252E-2</v>
      </c>
      <c r="AB56" s="87">
        <f>(R56-B56)/B56</f>
        <v>-5.839940950730739E-3</v>
      </c>
      <c r="AE56" s="93">
        <f>(U56-R56)/R56</f>
        <v>-3.9874061914060586E-2</v>
      </c>
      <c r="AF56" s="87">
        <f>(U56-B56)/B56</f>
        <v>-4.5481140697747433E-2</v>
      </c>
      <c r="AG56" s="79">
        <f>(V56-U56)/U56</f>
        <v>-6.1217243284326494E-3</v>
      </c>
      <c r="AH56" s="93">
        <f>(V56-R56)/V56</f>
        <v>-4.7945265045973559E-2</v>
      </c>
      <c r="AI56" s="87">
        <f>(V56-B56)/B56</f>
        <v>-5.1324442020685812E-2</v>
      </c>
    </row>
    <row r="57" spans="1:35" x14ac:dyDescent="0.3">
      <c r="A57" s="74" t="s">
        <v>134</v>
      </c>
      <c r="B57" s="69">
        <f>1-B56</f>
        <v>0.29013516920081506</v>
      </c>
      <c r="C57" s="69">
        <f t="shared" ref="C57:V57" si="64">1-C56</f>
        <v>0.33044170514639726</v>
      </c>
      <c r="D57" s="69">
        <f t="shared" si="64"/>
        <v>0.3357462475832621</v>
      </c>
      <c r="E57" s="69">
        <f t="shared" si="64"/>
        <v>0.33844208851125424</v>
      </c>
      <c r="F57" s="69">
        <f t="shared" si="64"/>
        <v>0.33209455587570069</v>
      </c>
      <c r="G57" s="69">
        <f t="shared" si="64"/>
        <v>0.30794321255647294</v>
      </c>
      <c r="H57" s="69">
        <f t="shared" si="64"/>
        <v>0.34570522527728165</v>
      </c>
      <c r="I57" s="69">
        <f t="shared" si="64"/>
        <v>0.36669753411488026</v>
      </c>
      <c r="J57" s="69">
        <f t="shared" si="64"/>
        <v>0.36942051753429617</v>
      </c>
      <c r="K57" s="69">
        <f t="shared" si="64"/>
        <v>0.35393846420250674</v>
      </c>
      <c r="L57" s="69">
        <f t="shared" si="64"/>
        <v>0.36517502474680241</v>
      </c>
      <c r="M57" s="69">
        <f t="shared" si="64"/>
        <v>0.37390350817601581</v>
      </c>
      <c r="N57" s="69">
        <f t="shared" si="64"/>
        <v>0.24633633261065502</v>
      </c>
      <c r="O57" s="69">
        <f t="shared" si="64"/>
        <v>0.27042376557889214</v>
      </c>
      <c r="P57" s="69">
        <f t="shared" si="64"/>
        <v>0.28902436389960728</v>
      </c>
      <c r="Q57" s="69">
        <f t="shared" si="64"/>
        <v>0.29552756036375472</v>
      </c>
      <c r="R57" s="69">
        <f t="shared" si="64"/>
        <v>0.29428073789568276</v>
      </c>
      <c r="S57" s="69">
        <f t="shared" si="64"/>
        <v>0.37448239633073155</v>
      </c>
      <c r="T57" s="69">
        <f t="shared" si="64"/>
        <v>0.34264398487281233</v>
      </c>
      <c r="U57" s="69">
        <f t="shared" si="64"/>
        <v>0.32242063144677546</v>
      </c>
      <c r="V57" s="69">
        <f t="shared" si="64"/>
        <v>0.32656858555169177</v>
      </c>
    </row>
    <row r="59" spans="1:35" x14ac:dyDescent="0.3">
      <c r="A59" s="68"/>
      <c r="B59" s="68">
        <v>2003</v>
      </c>
      <c r="C59" s="68">
        <v>2004</v>
      </c>
      <c r="D59" s="68">
        <v>2005</v>
      </c>
      <c r="E59" s="68">
        <v>2006</v>
      </c>
      <c r="F59" s="68">
        <v>2007</v>
      </c>
      <c r="G59" s="68">
        <v>2008</v>
      </c>
      <c r="H59" s="68">
        <v>2009</v>
      </c>
      <c r="I59" s="68">
        <v>2010</v>
      </c>
      <c r="J59" s="68">
        <v>2011</v>
      </c>
      <c r="K59" s="68">
        <v>2012</v>
      </c>
      <c r="L59" s="68">
        <v>2013</v>
      </c>
      <c r="M59" s="68">
        <v>2014</v>
      </c>
      <c r="N59" s="68">
        <v>2015</v>
      </c>
      <c r="O59" s="68">
        <v>2016</v>
      </c>
      <c r="P59" s="68">
        <v>2017</v>
      </c>
      <c r="Q59" s="68">
        <v>2018</v>
      </c>
      <c r="R59" s="68">
        <v>2019</v>
      </c>
      <c r="S59" s="68">
        <v>2020</v>
      </c>
      <c r="T59" s="68">
        <v>2021</v>
      </c>
      <c r="U59" s="68">
        <v>2022</v>
      </c>
      <c r="V59" s="68">
        <v>2023</v>
      </c>
    </row>
    <row r="60" spans="1:35" s="76" customFormat="1" x14ac:dyDescent="0.3">
      <c r="A60" s="82" t="s">
        <v>125</v>
      </c>
    </row>
    <row r="61" spans="1:35" s="76" customFormat="1" x14ac:dyDescent="0.3">
      <c r="A61" s="76" t="s">
        <v>226</v>
      </c>
      <c r="B61" s="76">
        <f>B6</f>
        <v>719122</v>
      </c>
      <c r="C61" s="76">
        <f t="shared" ref="C61:V61" si="65">C6</f>
        <v>717465</v>
      </c>
      <c r="D61" s="76">
        <f t="shared" si="65"/>
        <v>719042</v>
      </c>
      <c r="E61" s="76">
        <f t="shared" si="65"/>
        <v>725720</v>
      </c>
      <c r="F61" s="76">
        <f t="shared" si="65"/>
        <v>739033</v>
      </c>
      <c r="G61" s="76">
        <f t="shared" si="65"/>
        <v>750095</v>
      </c>
      <c r="H61" s="76">
        <f t="shared" si="65"/>
        <v>755876</v>
      </c>
      <c r="I61" s="76">
        <f t="shared" si="65"/>
        <v>765986</v>
      </c>
      <c r="J61" s="76">
        <f t="shared" si="65"/>
        <v>776292</v>
      </c>
      <c r="K61" s="76">
        <f t="shared" si="65"/>
        <v>788233</v>
      </c>
      <c r="L61" s="76">
        <f t="shared" si="65"/>
        <v>795921</v>
      </c>
      <c r="M61" s="76">
        <f t="shared" si="65"/>
        <v>805537</v>
      </c>
      <c r="N61" s="76">
        <f t="shared" si="65"/>
        <v>821343</v>
      </c>
      <c r="O61" s="76">
        <f t="shared" si="65"/>
        <v>836088</v>
      </c>
      <c r="P61" s="76">
        <f t="shared" si="65"/>
        <v>854642</v>
      </c>
      <c r="Q61" s="76">
        <f t="shared" si="65"/>
        <v>869922</v>
      </c>
      <c r="R61" s="76">
        <f t="shared" si="65"/>
        <v>890004</v>
      </c>
      <c r="S61" s="76">
        <f t="shared" si="65"/>
        <v>916316</v>
      </c>
      <c r="T61" s="76">
        <f t="shared" si="65"/>
        <v>945661</v>
      </c>
      <c r="U61" s="76">
        <f t="shared" si="65"/>
        <v>960661</v>
      </c>
      <c r="V61" s="76">
        <f t="shared" si="65"/>
        <v>945199</v>
      </c>
    </row>
    <row r="62" spans="1:35" s="76" customFormat="1" x14ac:dyDescent="0.3">
      <c r="A62" s="76" t="s">
        <v>227</v>
      </c>
      <c r="B62" s="76">
        <f>B7</f>
        <v>853157</v>
      </c>
      <c r="C62" s="76">
        <f t="shared" ref="C62:V62" si="66">C7</f>
        <v>856519</v>
      </c>
      <c r="D62" s="76">
        <f t="shared" si="66"/>
        <v>863572</v>
      </c>
      <c r="E62" s="76">
        <f t="shared" si="66"/>
        <v>877436</v>
      </c>
      <c r="F62" s="76">
        <f t="shared" si="66"/>
        <v>901280</v>
      </c>
      <c r="G62" s="76">
        <f t="shared" si="66"/>
        <v>920415</v>
      </c>
      <c r="H62" s="76">
        <f t="shared" si="66"/>
        <v>930560</v>
      </c>
      <c r="I62" s="76">
        <f t="shared" si="66"/>
        <v>948805</v>
      </c>
      <c r="J62" s="76">
        <f t="shared" si="66"/>
        <v>965752</v>
      </c>
      <c r="K62" s="76">
        <f t="shared" si="66"/>
        <v>984354</v>
      </c>
      <c r="L62" s="76">
        <f t="shared" si="66"/>
        <v>996415</v>
      </c>
      <c r="M62" s="76">
        <f t="shared" si="66"/>
        <v>1010704</v>
      </c>
      <c r="N62" s="76">
        <f t="shared" si="66"/>
        <v>1030641</v>
      </c>
      <c r="O62" s="76">
        <f t="shared" si="66"/>
        <v>1052469</v>
      </c>
      <c r="P62" s="76">
        <f t="shared" si="66"/>
        <v>1081567</v>
      </c>
      <c r="Q62" s="76">
        <f t="shared" si="66"/>
        <v>1106330</v>
      </c>
      <c r="R62" s="76">
        <f t="shared" si="66"/>
        <v>1137274</v>
      </c>
      <c r="S62" s="76">
        <f t="shared" si="66"/>
        <v>1177227</v>
      </c>
      <c r="T62" s="76">
        <f t="shared" si="66"/>
        <v>1223537</v>
      </c>
      <c r="U62" s="76">
        <f t="shared" si="66"/>
        <v>1249134</v>
      </c>
      <c r="V62" s="76">
        <f t="shared" si="66"/>
        <v>1241323</v>
      </c>
    </row>
    <row r="63" spans="1:35" s="76" customFormat="1" x14ac:dyDescent="0.3">
      <c r="A63" s="76" t="s">
        <v>135</v>
      </c>
      <c r="B63" s="81">
        <v>2262705.2439999999</v>
      </c>
      <c r="C63" s="81">
        <v>2353083.1433600001</v>
      </c>
      <c r="D63" s="81">
        <v>2425876.9980000001</v>
      </c>
      <c r="E63" s="81">
        <v>2569430.6052100002</v>
      </c>
      <c r="F63" s="81">
        <v>2677901.1946700001</v>
      </c>
      <c r="G63" s="81">
        <v>3067203.23386</v>
      </c>
      <c r="H63" s="81">
        <v>3236344.4180000001</v>
      </c>
      <c r="I63" s="81">
        <v>3343015.4950000001</v>
      </c>
      <c r="J63" s="81">
        <v>3400758.1773100002</v>
      </c>
      <c r="K63" s="81">
        <v>3539142.355</v>
      </c>
      <c r="L63" s="81">
        <v>3703140.7063699998</v>
      </c>
      <c r="M63" s="81">
        <v>3725451.8110000002</v>
      </c>
      <c r="N63" s="81">
        <v>3974883.4619999998</v>
      </c>
      <c r="O63" s="81">
        <v>4071313.8620000002</v>
      </c>
      <c r="P63" s="81">
        <v>4153075.9160000002</v>
      </c>
      <c r="Q63" s="81">
        <v>4238045.9009999996</v>
      </c>
      <c r="R63" s="81">
        <v>4327094.6529999999</v>
      </c>
      <c r="S63" s="81">
        <v>4027787.3727000002</v>
      </c>
      <c r="T63" s="81">
        <v>4438226.4675900014</v>
      </c>
      <c r="U63" s="81">
        <v>4596331.5162800001</v>
      </c>
      <c r="V63" s="85">
        <v>5047179.2479999997</v>
      </c>
      <c r="W63" s="85">
        <v>5322335.3661499992</v>
      </c>
      <c r="X63" s="12">
        <v>5422061.9110000003</v>
      </c>
    </row>
    <row r="64" spans="1:35" s="76" customFormat="1" x14ac:dyDescent="0.3">
      <c r="A64" s="83" t="s">
        <v>129</v>
      </c>
    </row>
    <row r="65" spans="1:24" s="76" customFormat="1" x14ac:dyDescent="0.3">
      <c r="A65" s="76" t="s">
        <v>135</v>
      </c>
      <c r="B65" s="76">
        <f t="shared" ref="B65:U65" si="67">B63*B4</f>
        <v>3733195.0570755964</v>
      </c>
      <c r="C65" s="76">
        <f t="shared" si="67"/>
        <v>3802485.5984488367</v>
      </c>
      <c r="D65" s="76">
        <f t="shared" si="67"/>
        <v>3814155.7372698262</v>
      </c>
      <c r="E65" s="76">
        <f t="shared" si="67"/>
        <v>3968970.719606088</v>
      </c>
      <c r="F65" s="76">
        <f t="shared" si="67"/>
        <v>4062385.9575393698</v>
      </c>
      <c r="G65" s="76">
        <f t="shared" si="67"/>
        <v>4452924.8488056557</v>
      </c>
      <c r="H65" s="76">
        <f t="shared" si="67"/>
        <v>4701066.1930992287</v>
      </c>
      <c r="I65" s="76">
        <f t="shared" si="67"/>
        <v>4751983.7007191302</v>
      </c>
      <c r="J65" s="76">
        <f t="shared" si="67"/>
        <v>4669191.1171052549</v>
      </c>
      <c r="K65" s="76">
        <f t="shared" si="67"/>
        <v>4725059.2169282101</v>
      </c>
      <c r="L65" s="76">
        <f t="shared" si="67"/>
        <v>4889626.9886909472</v>
      </c>
      <c r="M65" s="76">
        <f t="shared" si="67"/>
        <v>4902418.348858281</v>
      </c>
      <c r="N65" s="76">
        <f t="shared" si="67"/>
        <v>5201621.5294596618</v>
      </c>
      <c r="O65" s="76">
        <f t="shared" si="67"/>
        <v>5224767.0554813873</v>
      </c>
      <c r="P65" s="76">
        <f t="shared" si="67"/>
        <v>5218615.7589326231</v>
      </c>
      <c r="Q65" s="76">
        <f t="shared" si="67"/>
        <v>5218123.6550544566</v>
      </c>
      <c r="R65" s="76">
        <f t="shared" si="67"/>
        <v>5252340.3013616465</v>
      </c>
      <c r="S65" s="76">
        <f t="shared" si="67"/>
        <v>4852897.5699544484</v>
      </c>
      <c r="T65" s="76">
        <f t="shared" si="67"/>
        <v>5220233.5897076754</v>
      </c>
      <c r="U65" s="76">
        <f t="shared" si="67"/>
        <v>4932940.0423442349</v>
      </c>
      <c r="V65" s="76">
        <f t="shared" ref="V65" si="68">V63*V4</f>
        <v>5205836.891836972</v>
      </c>
    </row>
    <row r="66" spans="1:24" s="76" customFormat="1" x14ac:dyDescent="0.3">
      <c r="A66" s="83" t="s">
        <v>229</v>
      </c>
    </row>
    <row r="67" spans="1:24" s="76" customFormat="1" x14ac:dyDescent="0.3">
      <c r="A67" s="76" t="s">
        <v>135</v>
      </c>
      <c r="B67" s="76">
        <f>B65/B$61</f>
        <v>5.1913236656305832</v>
      </c>
      <c r="C67" s="76">
        <f t="shared" ref="C67:V67" si="69">C65/C$61</f>
        <v>5.2998900273167848</v>
      </c>
      <c r="D67" s="76">
        <f t="shared" si="69"/>
        <v>5.3044964512084496</v>
      </c>
      <c r="E67" s="76">
        <f t="shared" si="69"/>
        <v>5.4690110781101362</v>
      </c>
      <c r="F67" s="76">
        <f t="shared" si="69"/>
        <v>5.4968938566198933</v>
      </c>
      <c r="G67" s="76">
        <f t="shared" si="69"/>
        <v>5.9364811774583961</v>
      </c>
      <c r="H67" s="76">
        <f t="shared" si="69"/>
        <v>6.2193616321979119</v>
      </c>
      <c r="I67" s="76">
        <f t="shared" si="69"/>
        <v>6.2037474584641625</v>
      </c>
      <c r="J67" s="76">
        <f t="shared" si="69"/>
        <v>6.0147355854565738</v>
      </c>
      <c r="K67" s="76">
        <f t="shared" si="69"/>
        <v>5.9944955576945018</v>
      </c>
      <c r="L67" s="76">
        <f t="shared" si="69"/>
        <v>6.1433571782764211</v>
      </c>
      <c r="M67" s="76">
        <f t="shared" si="69"/>
        <v>6.0859008945067465</v>
      </c>
      <c r="N67" s="76">
        <f t="shared" si="69"/>
        <v>6.3330685590059961</v>
      </c>
      <c r="O67" s="76">
        <f t="shared" si="69"/>
        <v>6.2490635620668966</v>
      </c>
      <c r="P67" s="76">
        <f t="shared" si="69"/>
        <v>6.1062009109458968</v>
      </c>
      <c r="Q67" s="76">
        <f t="shared" si="69"/>
        <v>5.9983810675606053</v>
      </c>
      <c r="R67" s="76">
        <f t="shared" si="69"/>
        <v>5.9014794330830496</v>
      </c>
      <c r="S67" s="76">
        <f t="shared" si="69"/>
        <v>5.2960960737938096</v>
      </c>
      <c r="T67" s="76">
        <f t="shared" si="69"/>
        <v>5.5201954925789218</v>
      </c>
      <c r="U67" s="76">
        <f t="shared" si="69"/>
        <v>5.1349435881588148</v>
      </c>
      <c r="V67" s="76">
        <f t="shared" si="69"/>
        <v>5.5076622931646906</v>
      </c>
    </row>
    <row r="68" spans="1:24" s="76" customFormat="1" x14ac:dyDescent="0.3">
      <c r="A68" s="83" t="s">
        <v>131</v>
      </c>
    </row>
    <row r="69" spans="1:24" s="76" customFormat="1" x14ac:dyDescent="0.3">
      <c r="A69" s="76" t="s">
        <v>136</v>
      </c>
      <c r="B69" s="76">
        <v>100</v>
      </c>
      <c r="C69" s="84">
        <f>C61/B61*B69</f>
        <v>99.769580126876946</v>
      </c>
      <c r="D69" s="84">
        <f t="shared" ref="D69:V69" si="70">D61/C61*C69</f>
        <v>99.988875322963295</v>
      </c>
      <c r="E69" s="84">
        <f t="shared" si="70"/>
        <v>100.91750773860348</v>
      </c>
      <c r="F69" s="84">
        <f t="shared" si="70"/>
        <v>102.7687930559766</v>
      </c>
      <c r="G69" s="84">
        <f t="shared" si="70"/>
        <v>104.30705777322903</v>
      </c>
      <c r="H69" s="84">
        <f t="shared" si="70"/>
        <v>105.110954747595</v>
      </c>
      <c r="I69" s="84">
        <f t="shared" si="70"/>
        <v>106.51683580811046</v>
      </c>
      <c r="J69" s="84">
        <f t="shared" si="70"/>
        <v>107.9499723273659</v>
      </c>
      <c r="K69" s="84">
        <f t="shared" si="70"/>
        <v>109.61046943355927</v>
      </c>
      <c r="L69" s="84">
        <f t="shared" si="70"/>
        <v>110.67955089678804</v>
      </c>
      <c r="M69" s="84">
        <f t="shared" si="70"/>
        <v>112.01673707660177</v>
      </c>
      <c r="N69" s="84">
        <f t="shared" si="70"/>
        <v>114.21469514213169</v>
      </c>
      <c r="O69" s="84">
        <f t="shared" si="70"/>
        <v>116.26511217846212</v>
      </c>
      <c r="P69" s="84">
        <f t="shared" si="70"/>
        <v>118.84520290020335</v>
      </c>
      <c r="Q69" s="84">
        <f t="shared" si="70"/>
        <v>120.97001621421683</v>
      </c>
      <c r="R69" s="84">
        <f t="shared" si="70"/>
        <v>123.7625882673594</v>
      </c>
      <c r="S69" s="84">
        <f t="shared" si="70"/>
        <v>127.42149454473653</v>
      </c>
      <c r="T69" s="84">
        <f t="shared" si="70"/>
        <v>131.50216514026832</v>
      </c>
      <c r="U69" s="84">
        <f t="shared" si="70"/>
        <v>133.5880420846533</v>
      </c>
      <c r="V69" s="84">
        <f t="shared" si="70"/>
        <v>131.43792013038129</v>
      </c>
    </row>
    <row r="70" spans="1:24" s="76" customFormat="1" x14ac:dyDescent="0.3">
      <c r="A70" s="76" t="s">
        <v>135</v>
      </c>
      <c r="B70" s="76">
        <v>100</v>
      </c>
      <c r="C70" s="84">
        <f>C67/B67*B70</f>
        <v>102.09130404264658</v>
      </c>
      <c r="D70" s="84">
        <f t="shared" ref="D70:T70" si="71">D67/C67*C70</f>
        <v>102.18003717100385</v>
      </c>
      <c r="E70" s="84">
        <f t="shared" si="71"/>
        <v>105.34906760520435</v>
      </c>
      <c r="F70" s="84">
        <f t="shared" si="71"/>
        <v>105.88617105522341</v>
      </c>
      <c r="G70" s="84">
        <f t="shared" si="71"/>
        <v>114.35390200694221</v>
      </c>
      <c r="H70" s="84">
        <f t="shared" si="71"/>
        <v>119.80300271727432</v>
      </c>
      <c r="I70" s="84">
        <f t="shared" si="71"/>
        <v>119.50222829557676</v>
      </c>
      <c r="J70" s="84">
        <f t="shared" si="71"/>
        <v>115.86130961699482</v>
      </c>
      <c r="K70" s="84">
        <f t="shared" si="71"/>
        <v>115.47142778596833</v>
      </c>
      <c r="L70" s="84">
        <f t="shared" si="71"/>
        <v>118.33893576986587</v>
      </c>
      <c r="M70" s="84">
        <f t="shared" si="71"/>
        <v>117.23216055278459</v>
      </c>
      <c r="N70" s="84">
        <f t="shared" si="71"/>
        <v>121.99332900266637</v>
      </c>
      <c r="O70" s="84">
        <f t="shared" si="71"/>
        <v>120.37514831600915</v>
      </c>
      <c r="P70" s="84">
        <f t="shared" si="71"/>
        <v>117.62319794029227</v>
      </c>
      <c r="Q70" s="84">
        <f t="shared" si="71"/>
        <v>115.54627401241009</v>
      </c>
      <c r="R70" s="84">
        <f t="shared" si="71"/>
        <v>113.67966655891807</v>
      </c>
      <c r="S70" s="84">
        <f t="shared" si="71"/>
        <v>102.01822145779271</v>
      </c>
      <c r="T70" s="84">
        <f t="shared" si="71"/>
        <v>106.33502836907766</v>
      </c>
      <c r="U70" s="84">
        <f>U67/T67*T70</f>
        <v>98.913955647862323</v>
      </c>
      <c r="V70" s="84">
        <f>V67/U67*U70</f>
        <v>106.09360247808172</v>
      </c>
    </row>
    <row r="71" spans="1:24" s="76" customFormat="1" x14ac:dyDescent="0.3">
      <c r="A71" s="83" t="s">
        <v>230</v>
      </c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</row>
    <row r="72" spans="1:24" s="76" customFormat="1" x14ac:dyDescent="0.3">
      <c r="A72" s="76" t="s">
        <v>135</v>
      </c>
      <c r="B72" s="76">
        <f>B65/B$62</f>
        <v>4.3757421636059908</v>
      </c>
      <c r="C72" s="76">
        <f t="shared" ref="C72:V72" si="72">C65/C$62</f>
        <v>4.4394643883542999</v>
      </c>
      <c r="D72" s="76">
        <f t="shared" si="72"/>
        <v>4.4167200155514843</v>
      </c>
      <c r="E72" s="76">
        <f t="shared" si="72"/>
        <v>4.5233734649662063</v>
      </c>
      <c r="F72" s="76">
        <f t="shared" si="72"/>
        <v>4.5073517192652339</v>
      </c>
      <c r="G72" s="76">
        <f t="shared" si="72"/>
        <v>4.8379533675631707</v>
      </c>
      <c r="H72" s="76">
        <f t="shared" si="72"/>
        <v>5.0518679000808424</v>
      </c>
      <c r="I72" s="76">
        <f t="shared" si="72"/>
        <v>5.0083881310902978</v>
      </c>
      <c r="J72" s="76">
        <f t="shared" si="72"/>
        <v>4.834772402340616</v>
      </c>
      <c r="K72" s="76">
        <f t="shared" si="72"/>
        <v>4.8001625603474052</v>
      </c>
      <c r="L72" s="76">
        <f t="shared" si="72"/>
        <v>4.9072193701328732</v>
      </c>
      <c r="M72" s="76">
        <f t="shared" si="72"/>
        <v>4.8504986117184465</v>
      </c>
      <c r="N72" s="76">
        <f t="shared" si="72"/>
        <v>5.0469771040155225</v>
      </c>
      <c r="O72" s="76">
        <f t="shared" si="72"/>
        <v>4.9642954381377384</v>
      </c>
      <c r="P72" s="76">
        <f t="shared" si="72"/>
        <v>4.8250508372875869</v>
      </c>
      <c r="Q72" s="76">
        <f t="shared" si="72"/>
        <v>4.716606848819481</v>
      </c>
      <c r="R72" s="76">
        <f t="shared" si="72"/>
        <v>4.6183596049515305</v>
      </c>
      <c r="S72" s="76">
        <f t="shared" si="72"/>
        <v>4.1223124936434932</v>
      </c>
      <c r="T72" s="76">
        <f t="shared" si="72"/>
        <v>4.2665106079404831</v>
      </c>
      <c r="U72" s="76">
        <f t="shared" si="72"/>
        <v>3.9490879620154722</v>
      </c>
      <c r="V72" s="76">
        <f t="shared" si="72"/>
        <v>4.1937810641041633</v>
      </c>
    </row>
    <row r="73" spans="1:24" s="76" customFormat="1" x14ac:dyDescent="0.3">
      <c r="A73" s="83" t="s">
        <v>131</v>
      </c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</row>
    <row r="74" spans="1:24" s="76" customFormat="1" x14ac:dyDescent="0.3">
      <c r="A74" s="76" t="s">
        <v>136</v>
      </c>
      <c r="B74" s="76">
        <v>100</v>
      </c>
      <c r="C74" s="84">
        <f>C62/B62*B74</f>
        <v>100.39406580500423</v>
      </c>
      <c r="D74" s="84">
        <f t="shared" ref="D74:V74" si="73">D62/C62*C74</f>
        <v>101.22076007112406</v>
      </c>
      <c r="E74" s="84">
        <f t="shared" si="73"/>
        <v>102.84578336695355</v>
      </c>
      <c r="F74" s="84">
        <f t="shared" si="73"/>
        <v>105.64057963540121</v>
      </c>
      <c r="G74" s="84">
        <f t="shared" si="73"/>
        <v>107.8834259110574</v>
      </c>
      <c r="H74" s="84">
        <f t="shared" si="73"/>
        <v>109.07253881759161</v>
      </c>
      <c r="I74" s="84">
        <f t="shared" si="73"/>
        <v>111.2110666618219</v>
      </c>
      <c r="J74" s="84">
        <f t="shared" si="73"/>
        <v>113.19745369257944</v>
      </c>
      <c r="K74" s="84">
        <f t="shared" si="73"/>
        <v>115.3778261211008</v>
      </c>
      <c r="L74" s="84">
        <f t="shared" si="73"/>
        <v>116.79151668450237</v>
      </c>
      <c r="M74" s="84">
        <f t="shared" si="73"/>
        <v>118.46635496163071</v>
      </c>
      <c r="N74" s="84">
        <f t="shared" si="73"/>
        <v>120.80320503729088</v>
      </c>
      <c r="O74" s="84">
        <f t="shared" si="73"/>
        <v>123.36170247680083</v>
      </c>
      <c r="P74" s="84">
        <f t="shared" si="73"/>
        <v>126.77232912582322</v>
      </c>
      <c r="Q74" s="84">
        <f t="shared" si="73"/>
        <v>129.67484296559715</v>
      </c>
      <c r="R74" s="84">
        <f t="shared" si="73"/>
        <v>133.30184245103771</v>
      </c>
      <c r="S74" s="84">
        <f t="shared" si="73"/>
        <v>137.9848023282936</v>
      </c>
      <c r="T74" s="84">
        <f t="shared" si="73"/>
        <v>143.41287711405985</v>
      </c>
      <c r="U74" s="84">
        <f t="shared" si="73"/>
        <v>146.41314552890029</v>
      </c>
      <c r="V74" s="84">
        <f t="shared" si="73"/>
        <v>145.49760477848741</v>
      </c>
    </row>
    <row r="75" spans="1:24" s="76" customFormat="1" x14ac:dyDescent="0.3">
      <c r="A75" s="76" t="s">
        <v>135</v>
      </c>
      <c r="B75" s="76">
        <v>100</v>
      </c>
      <c r="C75" s="84">
        <f>C72/B72*B75</f>
        <v>101.45626095793077</v>
      </c>
      <c r="D75" s="84">
        <f t="shared" ref="D75:V75" si="74">D72/C72*C75</f>
        <v>100.93647775424967</v>
      </c>
      <c r="E75" s="84">
        <f t="shared" si="74"/>
        <v>103.3738574129915</v>
      </c>
      <c r="F75" s="84">
        <f t="shared" si="74"/>
        <v>103.00770819528327</v>
      </c>
      <c r="G75" s="84">
        <f t="shared" si="74"/>
        <v>110.56303563316624</v>
      </c>
      <c r="H75" s="84">
        <f t="shared" si="74"/>
        <v>115.45168136501135</v>
      </c>
      <c r="I75" s="84">
        <f t="shared" si="74"/>
        <v>114.45802663479952</v>
      </c>
      <c r="J75" s="84">
        <f t="shared" si="74"/>
        <v>110.4903401885166</v>
      </c>
      <c r="K75" s="84">
        <f t="shared" si="74"/>
        <v>109.6993922601613</v>
      </c>
      <c r="L75" s="84">
        <f t="shared" si="74"/>
        <v>112.14599002078539</v>
      </c>
      <c r="M75" s="84">
        <f t="shared" si="74"/>
        <v>110.84973543599322</v>
      </c>
      <c r="N75" s="84">
        <f t="shared" si="74"/>
        <v>115.33991070114551</v>
      </c>
      <c r="O75" s="84">
        <f t="shared" si="74"/>
        <v>113.45036459019168</v>
      </c>
      <c r="P75" s="84">
        <f t="shared" si="74"/>
        <v>110.26817067556208</v>
      </c>
      <c r="Q75" s="84">
        <f t="shared" si="74"/>
        <v>107.78987135139123</v>
      </c>
      <c r="R75" s="84">
        <f t="shared" si="74"/>
        <v>105.54460094480524</v>
      </c>
      <c r="S75" s="84">
        <f t="shared" si="74"/>
        <v>94.208304317600607</v>
      </c>
      <c r="T75" s="84">
        <f t="shared" si="74"/>
        <v>97.503702193104274</v>
      </c>
      <c r="U75" s="84">
        <f t="shared" si="74"/>
        <v>90.249558003232096</v>
      </c>
      <c r="V75" s="84">
        <f t="shared" si="74"/>
        <v>95.841594575310253</v>
      </c>
    </row>
    <row r="77" spans="1:24" x14ac:dyDescent="0.3">
      <c r="A77" s="68" t="s">
        <v>122</v>
      </c>
    </row>
    <row r="78" spans="1:24" x14ac:dyDescent="0.3">
      <c r="A78" s="70" t="s">
        <v>138</v>
      </c>
      <c r="B78" s="77">
        <v>340404</v>
      </c>
      <c r="C78" s="78">
        <v>348930</v>
      </c>
      <c r="D78" s="78">
        <v>354953</v>
      </c>
      <c r="E78" s="78">
        <v>373382</v>
      </c>
      <c r="F78" s="78">
        <v>387861</v>
      </c>
      <c r="G78" s="78">
        <v>413469</v>
      </c>
      <c r="H78" s="78">
        <v>429286</v>
      </c>
      <c r="I78" s="78">
        <v>445941</v>
      </c>
      <c r="J78" s="78">
        <v>464463</v>
      </c>
      <c r="K78" s="78">
        <v>477479</v>
      </c>
      <c r="L78" s="78">
        <v>484231</v>
      </c>
      <c r="M78" s="78">
        <v>486320</v>
      </c>
      <c r="N78" s="78">
        <v>500742</v>
      </c>
      <c r="O78" s="78">
        <v>516774</v>
      </c>
      <c r="P78" s="78">
        <v>533903</v>
      </c>
      <c r="Q78" s="78">
        <v>551179</v>
      </c>
      <c r="R78" s="78">
        <v>565782</v>
      </c>
      <c r="S78" s="78">
        <v>597771</v>
      </c>
      <c r="T78" s="78">
        <v>627057</v>
      </c>
      <c r="U78" s="78">
        <v>655108</v>
      </c>
      <c r="V78" s="46">
        <v>682936</v>
      </c>
    </row>
    <row r="79" spans="1:24" x14ac:dyDescent="0.3">
      <c r="A79" s="70" t="s">
        <v>137</v>
      </c>
      <c r="B79" s="73">
        <v>92272.388000000006</v>
      </c>
      <c r="C79" s="73">
        <v>106957.35799</v>
      </c>
      <c r="D79" s="73">
        <v>162784.39199999999</v>
      </c>
      <c r="E79" s="73">
        <v>152960.13156000001</v>
      </c>
      <c r="F79" s="73">
        <v>162433.16453000001</v>
      </c>
      <c r="G79" s="73">
        <v>172068.32260000001</v>
      </c>
      <c r="H79" s="73">
        <v>173004.17600000001</v>
      </c>
      <c r="I79" s="73">
        <v>185087.92300000001</v>
      </c>
      <c r="J79" s="73">
        <v>193006.84555</v>
      </c>
      <c r="K79" s="73">
        <v>199484.64199999999</v>
      </c>
      <c r="L79" s="73">
        <v>201195.19130000001</v>
      </c>
      <c r="M79" s="73">
        <v>205323.345</v>
      </c>
      <c r="N79" s="73">
        <v>207944.247</v>
      </c>
      <c r="O79" s="73">
        <v>214029.49600000001</v>
      </c>
      <c r="P79" s="73">
        <v>219917.495</v>
      </c>
      <c r="Q79" s="73">
        <v>225798.78599999999</v>
      </c>
      <c r="R79" s="73">
        <v>231753.851</v>
      </c>
      <c r="S79" s="73">
        <v>221874.38159</v>
      </c>
      <c r="T79" s="73">
        <v>230898.40729999999</v>
      </c>
      <c r="U79" s="73">
        <v>239638.02611000001</v>
      </c>
      <c r="V79" s="73">
        <v>279678.59902000002</v>
      </c>
      <c r="W79" s="73">
        <v>297899.92258999997</v>
      </c>
      <c r="X79" s="73">
        <v>322394.28700000001</v>
      </c>
    </row>
    <row r="80" spans="1:24" x14ac:dyDescent="0.3">
      <c r="A80" s="74" t="s">
        <v>129</v>
      </c>
    </row>
    <row r="81" spans="1:24" x14ac:dyDescent="0.3">
      <c r="A81" s="70" t="s">
        <v>137</v>
      </c>
      <c r="B81" s="70">
        <f t="shared" ref="B81:V81" si="75">B79*B4</f>
        <v>152238.48696138948</v>
      </c>
      <c r="C81" s="70">
        <f t="shared" si="75"/>
        <v>172838.69231427734</v>
      </c>
      <c r="D81" s="70">
        <f t="shared" si="75"/>
        <v>255942.49963896163</v>
      </c>
      <c r="E81" s="70">
        <f t="shared" si="75"/>
        <v>236275.80452950866</v>
      </c>
      <c r="F81" s="70">
        <f t="shared" si="75"/>
        <v>246411.7077727619</v>
      </c>
      <c r="G81" s="70">
        <f t="shared" si="75"/>
        <v>249806.50155144586</v>
      </c>
      <c r="H81" s="70">
        <f t="shared" si="75"/>
        <v>251303.31572101207</v>
      </c>
      <c r="I81" s="70">
        <f t="shared" si="75"/>
        <v>263096.23590181937</v>
      </c>
      <c r="J81" s="70">
        <f t="shared" si="75"/>
        <v>264995.56916316936</v>
      </c>
      <c r="K81" s="70">
        <f t="shared" si="75"/>
        <v>266329.14185722952</v>
      </c>
      <c r="L81" s="70">
        <f t="shared" si="75"/>
        <v>265658.13059251994</v>
      </c>
      <c r="M81" s="70">
        <f t="shared" si="75"/>
        <v>270190.29772573244</v>
      </c>
      <c r="N81" s="70">
        <f t="shared" si="75"/>
        <v>272120.49924558966</v>
      </c>
      <c r="O81" s="70">
        <f t="shared" si="75"/>
        <v>274666.6794813879</v>
      </c>
      <c r="P81" s="70">
        <f t="shared" si="75"/>
        <v>276340.9406147697</v>
      </c>
      <c r="Q81" s="70">
        <f t="shared" si="75"/>
        <v>278016.33442223049</v>
      </c>
      <c r="R81" s="70">
        <f t="shared" si="75"/>
        <v>281308.86639124836</v>
      </c>
      <c r="S81" s="70">
        <f t="shared" si="75"/>
        <v>267326.3376689807</v>
      </c>
      <c r="T81" s="70">
        <f t="shared" si="75"/>
        <v>271582.27062080876</v>
      </c>
      <c r="U81" s="70">
        <f t="shared" si="75"/>
        <v>257187.71817901652</v>
      </c>
      <c r="V81" s="70">
        <f t="shared" si="75"/>
        <v>288470.27162994782</v>
      </c>
    </row>
    <row r="82" spans="1:24" x14ac:dyDescent="0.3">
      <c r="A82" s="74" t="s">
        <v>130</v>
      </c>
    </row>
    <row r="83" spans="1:24" x14ac:dyDescent="0.3">
      <c r="A83" s="70" t="s">
        <v>137</v>
      </c>
      <c r="B83" s="70">
        <f>B81/B$78</f>
        <v>0.4472288426733807</v>
      </c>
      <c r="C83" s="70">
        <f t="shared" ref="C83:V83" si="76">C81/C$78</f>
        <v>0.49533915775163312</v>
      </c>
      <c r="D83" s="70">
        <f t="shared" si="76"/>
        <v>0.72106025203044244</v>
      </c>
      <c r="E83" s="70">
        <f t="shared" si="76"/>
        <v>0.63279912938895999</v>
      </c>
      <c r="F83" s="70">
        <f t="shared" si="76"/>
        <v>0.63530931898995235</v>
      </c>
      <c r="G83" s="70">
        <f t="shared" si="76"/>
        <v>0.60417226334125618</v>
      </c>
      <c r="H83" s="70">
        <f t="shared" si="76"/>
        <v>0.58539834916818179</v>
      </c>
      <c r="I83" s="70">
        <f t="shared" si="76"/>
        <v>0.58997992089047513</v>
      </c>
      <c r="J83" s="70">
        <f t="shared" si="76"/>
        <v>0.57054182822564847</v>
      </c>
      <c r="K83" s="70">
        <f t="shared" si="76"/>
        <v>0.55778189586815241</v>
      </c>
      <c r="L83" s="70">
        <f t="shared" si="76"/>
        <v>0.54861859441572292</v>
      </c>
      <c r="M83" s="70">
        <f t="shared" si="76"/>
        <v>0.55558129981438653</v>
      </c>
      <c r="N83" s="70">
        <f t="shared" si="76"/>
        <v>0.54343454163139837</v>
      </c>
      <c r="O83" s="70">
        <f t="shared" si="76"/>
        <v>0.53150251266779658</v>
      </c>
      <c r="P83" s="70">
        <f t="shared" si="76"/>
        <v>0.51758641666139671</v>
      </c>
      <c r="Q83" s="70">
        <f t="shared" si="76"/>
        <v>0.50440298781744308</v>
      </c>
      <c r="R83" s="70">
        <f t="shared" si="76"/>
        <v>0.49720363389299832</v>
      </c>
      <c r="S83" s="70">
        <f t="shared" si="76"/>
        <v>0.44720526366950003</v>
      </c>
      <c r="T83" s="70">
        <f t="shared" si="76"/>
        <v>0.43310619388796995</v>
      </c>
      <c r="U83" s="70">
        <f t="shared" si="76"/>
        <v>0.39258827274131369</v>
      </c>
      <c r="V83" s="70">
        <f t="shared" si="76"/>
        <v>0.42239722555253761</v>
      </c>
    </row>
    <row r="84" spans="1:24" x14ac:dyDescent="0.3">
      <c r="A84" s="74" t="s">
        <v>131</v>
      </c>
    </row>
    <row r="85" spans="1:24" x14ac:dyDescent="0.3">
      <c r="A85" s="70" t="s">
        <v>138</v>
      </c>
      <c r="B85" s="70">
        <v>100</v>
      </c>
      <c r="C85" s="69">
        <f>C78/B78*B85</f>
        <v>102.50467092043571</v>
      </c>
      <c r="D85" s="69">
        <f t="shared" ref="D85:T85" si="77">D78/C78*C85</f>
        <v>104.27403908297201</v>
      </c>
      <c r="E85" s="69">
        <f t="shared" si="77"/>
        <v>109.68790025969143</v>
      </c>
      <c r="F85" s="69">
        <f t="shared" si="77"/>
        <v>113.94137554200304</v>
      </c>
      <c r="G85" s="69">
        <f t="shared" si="77"/>
        <v>121.46420136073608</v>
      </c>
      <c r="H85" s="69">
        <f t="shared" si="77"/>
        <v>126.11073900424203</v>
      </c>
      <c r="I85" s="69">
        <f t="shared" si="77"/>
        <v>131.00345471851097</v>
      </c>
      <c r="J85" s="69">
        <f t="shared" si="77"/>
        <v>136.44463637325063</v>
      </c>
      <c r="K85" s="69">
        <f t="shared" si="77"/>
        <v>140.26832822176004</v>
      </c>
      <c r="L85" s="69">
        <f t="shared" si="77"/>
        <v>142.25185367974527</v>
      </c>
      <c r="M85" s="69">
        <f t="shared" si="77"/>
        <v>142.86553624516753</v>
      </c>
      <c r="N85" s="69">
        <f t="shared" si="77"/>
        <v>147.10226671836998</v>
      </c>
      <c r="O85" s="69">
        <f t="shared" si="77"/>
        <v>151.81196460676142</v>
      </c>
      <c r="P85" s="69">
        <f t="shared" si="77"/>
        <v>156.84392662835927</v>
      </c>
      <c r="Q85" s="69">
        <f t="shared" si="77"/>
        <v>161.91907263134394</v>
      </c>
      <c r="R85" s="69">
        <f t="shared" si="77"/>
        <v>166.20897521768251</v>
      </c>
      <c r="S85" s="69">
        <f t="shared" si="77"/>
        <v>175.60633835090067</v>
      </c>
      <c r="T85" s="69">
        <f t="shared" si="77"/>
        <v>184.20964501004687</v>
      </c>
      <c r="U85" s="69">
        <f>U78/T78*T85</f>
        <v>192.45014747182759</v>
      </c>
      <c r="V85" s="69">
        <f>V78/U78*U85</f>
        <v>200.62513954007591</v>
      </c>
    </row>
    <row r="86" spans="1:24" x14ac:dyDescent="0.3">
      <c r="A86" s="70" t="s">
        <v>137</v>
      </c>
      <c r="B86" s="73">
        <v>100</v>
      </c>
      <c r="C86" s="73">
        <f>C83/B83*B86</f>
        <v>110.75742673273608</v>
      </c>
      <c r="D86" s="73">
        <f t="shared" ref="D86:T86" si="78">D83/C83*C86</f>
        <v>161.22847706337353</v>
      </c>
      <c r="E86" s="73">
        <f t="shared" si="78"/>
        <v>141.49336290707544</v>
      </c>
      <c r="F86" s="73">
        <f t="shared" si="78"/>
        <v>142.05463922950295</v>
      </c>
      <c r="G86" s="73">
        <f t="shared" si="78"/>
        <v>135.09241929248603</v>
      </c>
      <c r="H86" s="73">
        <f t="shared" si="78"/>
        <v>130.89458758269504</v>
      </c>
      <c r="I86" s="73">
        <f t="shared" si="78"/>
        <v>131.91902323736039</v>
      </c>
      <c r="J86" s="73">
        <f t="shared" si="78"/>
        <v>127.57268176514398</v>
      </c>
      <c r="K86" s="73">
        <f t="shared" si="78"/>
        <v>124.71957142431231</v>
      </c>
      <c r="L86" s="73">
        <f t="shared" si="78"/>
        <v>122.6706647845584</v>
      </c>
      <c r="M86" s="73">
        <f>M83/L83*L86</f>
        <v>124.22751996345136</v>
      </c>
      <c r="N86" s="73">
        <f t="shared" si="78"/>
        <v>121.51151486181726</v>
      </c>
      <c r="O86" s="73">
        <f t="shared" si="78"/>
        <v>118.84352303636248</v>
      </c>
      <c r="P86" s="73">
        <f t="shared" si="78"/>
        <v>115.73189545813783</v>
      </c>
      <c r="Q86" s="73">
        <f t="shared" si="78"/>
        <v>112.78409165256312</v>
      </c>
      <c r="R86" s="73">
        <f t="shared" si="78"/>
        <v>111.17432205867703</v>
      </c>
      <c r="S86" s="73">
        <f t="shared" si="78"/>
        <v>99.99472775419855</v>
      </c>
      <c r="T86" s="73">
        <f t="shared" si="78"/>
        <v>96.842187390913679</v>
      </c>
      <c r="U86" s="73">
        <f>U83/T83*T86</f>
        <v>87.782413673178041</v>
      </c>
      <c r="V86" s="73">
        <f>V83/U83*U86</f>
        <v>94.447670912187093</v>
      </c>
    </row>
    <row r="87" spans="1:24" x14ac:dyDescent="0.3">
      <c r="A87" s="70" t="s">
        <v>150</v>
      </c>
      <c r="B87" s="79">
        <f t="shared" ref="B87:V87" si="79">B79/B8</f>
        <v>3.9053021037719099E-2</v>
      </c>
      <c r="C87" s="79">
        <f t="shared" si="79"/>
        <v>4.3338094037073976E-2</v>
      </c>
      <c r="D87" s="79">
        <f t="shared" si="79"/>
        <v>6.2573262951487393E-2</v>
      </c>
      <c r="E87" s="79">
        <f t="shared" si="79"/>
        <v>5.5884120756314375E-2</v>
      </c>
      <c r="F87" s="79">
        <f t="shared" si="79"/>
        <v>5.690272726298503E-2</v>
      </c>
      <c r="G87" s="79">
        <f t="shared" si="79"/>
        <v>5.3025982536383465E-2</v>
      </c>
      <c r="H87" s="79">
        <f t="shared" si="79"/>
        <v>5.0655166052487752E-2</v>
      </c>
      <c r="I87" s="79">
        <f t="shared" si="79"/>
        <v>5.2357816306751875E-2</v>
      </c>
      <c r="J87" s="79">
        <f t="shared" si="79"/>
        <v>5.3579849724632637E-2</v>
      </c>
      <c r="K87" s="79">
        <f t="shared" si="79"/>
        <v>5.324349886857542E-2</v>
      </c>
      <c r="L87" s="79">
        <f t="shared" si="79"/>
        <v>5.1358270612411237E-2</v>
      </c>
      <c r="M87" s="79">
        <f t="shared" si="79"/>
        <v>5.2093700568622961E-2</v>
      </c>
      <c r="N87" s="79">
        <f t="shared" si="79"/>
        <v>4.9579987330929186E-2</v>
      </c>
      <c r="O87" s="79">
        <f t="shared" si="79"/>
        <v>4.9754666410501081E-2</v>
      </c>
      <c r="P87" s="79">
        <f t="shared" si="79"/>
        <v>5.008437000896946E-2</v>
      </c>
      <c r="Q87" s="79">
        <f t="shared" si="79"/>
        <v>5.0336596017513717E-2</v>
      </c>
      <c r="R87" s="79">
        <f t="shared" si="79"/>
        <v>5.0735818999448942E-2</v>
      </c>
      <c r="S87" s="79">
        <f t="shared" si="79"/>
        <v>5.2111319108983603E-2</v>
      </c>
      <c r="T87" s="79">
        <f t="shared" si="79"/>
        <v>4.937330916117335E-2</v>
      </c>
      <c r="U87" s="79">
        <f t="shared" si="79"/>
        <v>4.9474771840157618E-2</v>
      </c>
      <c r="V87" s="79">
        <f t="shared" si="79"/>
        <v>5.2435897682468577E-2</v>
      </c>
    </row>
    <row r="88" spans="1:24" x14ac:dyDescent="0.3"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</row>
    <row r="89" spans="1:24" x14ac:dyDescent="0.3">
      <c r="A89" s="68" t="s">
        <v>259</v>
      </c>
      <c r="B89" s="68">
        <v>2003</v>
      </c>
      <c r="C89" s="68">
        <v>2004</v>
      </c>
      <c r="D89" s="68">
        <v>2005</v>
      </c>
      <c r="E89" s="68">
        <v>2006</v>
      </c>
      <c r="F89" s="68">
        <v>2007</v>
      </c>
      <c r="G89" s="68">
        <v>2008</v>
      </c>
      <c r="H89" s="68">
        <v>2009</v>
      </c>
      <c r="I89" s="68">
        <v>2010</v>
      </c>
      <c r="J89" s="68">
        <v>2011</v>
      </c>
      <c r="K89" s="68">
        <v>2012</v>
      </c>
      <c r="L89" s="68">
        <v>2013</v>
      </c>
      <c r="M89" s="68">
        <v>2014</v>
      </c>
      <c r="N89" s="68">
        <v>2015</v>
      </c>
      <c r="O89" s="68">
        <v>2016</v>
      </c>
      <c r="P89" s="68">
        <v>2017</v>
      </c>
      <c r="Q89" s="68">
        <v>2018</v>
      </c>
      <c r="R89" s="68">
        <v>2019</v>
      </c>
      <c r="S89" s="68">
        <v>2020</v>
      </c>
      <c r="T89" s="68">
        <v>2021</v>
      </c>
      <c r="U89" s="68">
        <v>2022</v>
      </c>
      <c r="V89" s="68">
        <v>2023</v>
      </c>
      <c r="W89" s="68">
        <v>2024</v>
      </c>
      <c r="X89" s="68">
        <v>2025</v>
      </c>
    </row>
    <row r="90" spans="1:24" x14ac:dyDescent="0.3">
      <c r="A90" s="70" t="s">
        <v>231</v>
      </c>
      <c r="B90" s="70">
        <f>B33</f>
        <v>3416845</v>
      </c>
      <c r="C90" s="70">
        <f t="shared" ref="C90:V90" si="80">C33</f>
        <v>3446922</v>
      </c>
      <c r="D90" s="70">
        <f t="shared" si="80"/>
        <v>3488326</v>
      </c>
      <c r="E90" s="70">
        <f t="shared" si="80"/>
        <v>3552305</v>
      </c>
      <c r="F90" s="70">
        <f t="shared" si="80"/>
        <v>3632158</v>
      </c>
      <c r="G90" s="70">
        <f t="shared" si="80"/>
        <v>3664695</v>
      </c>
      <c r="H90" s="70">
        <f t="shared" si="80"/>
        <v>3650975</v>
      </c>
      <c r="I90" s="70">
        <f t="shared" si="80"/>
        <v>3702275</v>
      </c>
      <c r="J90" s="70">
        <f t="shared" si="80"/>
        <v>3724412</v>
      </c>
      <c r="K90" s="70">
        <f t="shared" si="80"/>
        <v>3717226</v>
      </c>
      <c r="L90" s="70">
        <f t="shared" si="80"/>
        <v>3704916</v>
      </c>
      <c r="M90" s="70">
        <f t="shared" si="80"/>
        <v>3726937</v>
      </c>
      <c r="N90" s="70">
        <f t="shared" si="80"/>
        <v>3752674</v>
      </c>
      <c r="O90" s="70">
        <f t="shared" si="80"/>
        <v>3801359</v>
      </c>
      <c r="P90" s="70">
        <f t="shared" si="80"/>
        <v>3858071</v>
      </c>
      <c r="Q90" s="70">
        <f t="shared" si="80"/>
        <v>3914029</v>
      </c>
      <c r="R90" s="70">
        <f t="shared" si="80"/>
        <v>3966918</v>
      </c>
      <c r="S90" s="70">
        <f t="shared" si="80"/>
        <v>3946692</v>
      </c>
      <c r="T90" s="70">
        <f t="shared" si="80"/>
        <v>4019084</v>
      </c>
      <c r="U90" s="70">
        <f t="shared" si="80"/>
        <v>4069839</v>
      </c>
      <c r="V90" s="70">
        <f t="shared" si="80"/>
        <v>3992877</v>
      </c>
    </row>
    <row r="91" spans="1:24" x14ac:dyDescent="0.3">
      <c r="A91" s="70" t="s">
        <v>232</v>
      </c>
      <c r="B91" s="70">
        <f>B34</f>
        <v>3431288</v>
      </c>
      <c r="C91" s="70">
        <f t="shared" ref="C91:V91" si="81">C34</f>
        <v>3460962</v>
      </c>
      <c r="D91" s="70">
        <f t="shared" si="81"/>
        <v>3501575</v>
      </c>
      <c r="E91" s="70">
        <f t="shared" si="81"/>
        <v>3566422</v>
      </c>
      <c r="F91" s="70">
        <f t="shared" si="81"/>
        <v>3646646</v>
      </c>
      <c r="G91" s="70">
        <f t="shared" si="81"/>
        <v>3679558</v>
      </c>
      <c r="H91" s="70">
        <f t="shared" si="81"/>
        <v>3665867</v>
      </c>
      <c r="I91" s="70">
        <f t="shared" si="81"/>
        <v>3717768</v>
      </c>
      <c r="J91" s="70">
        <f t="shared" si="81"/>
        <v>3740447</v>
      </c>
      <c r="K91" s="70">
        <f t="shared" si="81"/>
        <v>3733131</v>
      </c>
      <c r="L91" s="70">
        <f t="shared" si="81"/>
        <v>3721153</v>
      </c>
      <c r="M91" s="70">
        <f t="shared" si="81"/>
        <v>3743258</v>
      </c>
      <c r="N91" s="70">
        <f t="shared" si="81"/>
        <v>3769678</v>
      </c>
      <c r="O91" s="70">
        <f t="shared" si="81"/>
        <v>3818849</v>
      </c>
      <c r="P91" s="70">
        <f t="shared" si="81"/>
        <v>3876357</v>
      </c>
      <c r="Q91" s="70">
        <f t="shared" si="81"/>
        <v>3933049</v>
      </c>
      <c r="R91" s="70">
        <f t="shared" si="81"/>
        <v>3986725</v>
      </c>
      <c r="S91" s="70">
        <f t="shared" si="81"/>
        <v>3966758</v>
      </c>
      <c r="T91" s="70">
        <f t="shared" si="81"/>
        <v>4040443</v>
      </c>
      <c r="U91" s="70">
        <f t="shared" si="81"/>
        <v>4092156</v>
      </c>
      <c r="V91" s="70">
        <f t="shared" si="81"/>
        <v>4015175</v>
      </c>
    </row>
    <row r="92" spans="1:24" x14ac:dyDescent="0.3">
      <c r="A92" s="70" t="s">
        <v>254</v>
      </c>
      <c r="B92" s="98">
        <f>[1]Table!D47</f>
        <v>12106600</v>
      </c>
      <c r="C92" s="98">
        <f>[1]Table!E47</f>
        <v>12506700</v>
      </c>
      <c r="D92" s="98">
        <f>[1]Table!F47</f>
        <v>12709200</v>
      </c>
      <c r="E92" s="98">
        <f>[1]Table!G47</f>
        <v>13016500</v>
      </c>
      <c r="F92" s="98">
        <f>[1]Table!H47</f>
        <v>13848300</v>
      </c>
      <c r="G92" s="98">
        <f>[1]Table!I47</f>
        <v>14406900</v>
      </c>
      <c r="H92" s="98">
        <f>[1]Table!J47</f>
        <v>14645900</v>
      </c>
      <c r="I92" s="98">
        <f>[1]Table!K47</f>
        <v>14996600</v>
      </c>
      <c r="J92" s="98">
        <f>[1]Table!L47</f>
        <v>15696900</v>
      </c>
      <c r="K92" s="98">
        <f>[1]Table!M47</f>
        <v>16239800</v>
      </c>
      <c r="L92" s="98">
        <f>[1]Table!N47</f>
        <v>16477400.000000002</v>
      </c>
      <c r="M92" s="98">
        <f>[1]Table!O47</f>
        <v>16683000</v>
      </c>
      <c r="N92" s="98">
        <f>[1]Table!P47</f>
        <v>17036600</v>
      </c>
      <c r="O92" s="98">
        <f>[1]Table!Q47</f>
        <v>17174800</v>
      </c>
      <c r="P92" s="98">
        <f>[1]Table!R47</f>
        <v>17744500</v>
      </c>
      <c r="Q92" s="98">
        <f>[1]Table!S47</f>
        <v>18425500</v>
      </c>
      <c r="R92" s="98">
        <f>[1]Table!T47</f>
        <v>19080800</v>
      </c>
      <c r="S92" s="98">
        <f>[1]Table!U47</f>
        <v>18851600</v>
      </c>
      <c r="T92" s="98">
        <f>[1]Table!V47</f>
        <v>19857500</v>
      </c>
      <c r="U92" s="98">
        <f>[1]Table!W47</f>
        <v>21651300</v>
      </c>
      <c r="V92" s="98">
        <f>[1]Table!X47</f>
        <v>23772000</v>
      </c>
    </row>
    <row r="93" spans="1:24" x14ac:dyDescent="0.3">
      <c r="A93" s="70" t="s">
        <v>255</v>
      </c>
      <c r="B93" s="98">
        <f>[1]Table!D38</f>
        <v>23708600</v>
      </c>
      <c r="C93" s="98">
        <f>[1]Table!E38</f>
        <v>24414200</v>
      </c>
      <c r="D93" s="98">
        <f>[1]Table!F38</f>
        <v>25251400</v>
      </c>
      <c r="E93" s="98">
        <f>[1]Table!G38</f>
        <v>26446900</v>
      </c>
      <c r="F93" s="98">
        <f>[1]Table!H38</f>
        <v>28215900</v>
      </c>
      <c r="G93" s="98">
        <f>[1]Table!I38</f>
        <v>29803000</v>
      </c>
      <c r="H93" s="98">
        <f>[1]Table!J38</f>
        <v>30354800</v>
      </c>
      <c r="I93" s="98">
        <f>[1]Table!K38</f>
        <v>31041200</v>
      </c>
      <c r="J93" s="98">
        <f>[1]Table!L38</f>
        <v>32720600</v>
      </c>
      <c r="K93" s="98">
        <f>[1]Table!M38</f>
        <v>34116000</v>
      </c>
      <c r="L93" s="98">
        <f>[1]Table!N38</f>
        <v>34914500</v>
      </c>
      <c r="M93" s="98">
        <f>[1]Table!O38</f>
        <v>35324100</v>
      </c>
      <c r="N93" s="98">
        <f>[1]Table!P38</f>
        <v>36239600</v>
      </c>
      <c r="O93" s="98">
        <f>[1]Table!Q38</f>
        <v>35196800</v>
      </c>
      <c r="P93" s="98">
        <f>[1]Table!R38</f>
        <v>36119400</v>
      </c>
      <c r="Q93" s="98">
        <f>[1]Table!S38</f>
        <v>36585100</v>
      </c>
      <c r="R93" s="98">
        <f>[1]Table!T38</f>
        <v>37902100</v>
      </c>
      <c r="S93" s="98">
        <f>[1]Table!U38</f>
        <v>37351600</v>
      </c>
      <c r="T93" s="98">
        <f>[1]Table!V38</f>
        <v>39411700</v>
      </c>
      <c r="U93" s="98">
        <f>[1]Table!W38</f>
        <v>42730100</v>
      </c>
      <c r="V93" s="98">
        <f>[1]Table!X38</f>
        <v>46011600</v>
      </c>
    </row>
    <row r="94" spans="1:24" x14ac:dyDescent="0.3">
      <c r="A94" s="74" t="s">
        <v>129</v>
      </c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</row>
    <row r="95" spans="1:24" x14ac:dyDescent="0.3">
      <c r="A95" s="70" t="s">
        <v>254</v>
      </c>
      <c r="B95" s="98">
        <f>B92*B4</f>
        <v>19974452.880169936</v>
      </c>
      <c r="C95" s="98">
        <f t="shared" ref="C95:V95" si="82">C92*C4</f>
        <v>20210312.911516339</v>
      </c>
      <c r="D95" s="98">
        <f t="shared" si="82"/>
        <v>19982409.716599189</v>
      </c>
      <c r="E95" s="98">
        <f t="shared" si="82"/>
        <v>20106441.974730931</v>
      </c>
      <c r="F95" s="98">
        <f t="shared" si="82"/>
        <v>21007922.012867641</v>
      </c>
      <c r="G95" s="98">
        <f t="shared" si="82"/>
        <v>20915745.750412315</v>
      </c>
      <c r="H95" s="98">
        <f t="shared" si="82"/>
        <v>21274418.437843781</v>
      </c>
      <c r="I95" s="98">
        <f t="shared" si="82"/>
        <v>21317160.770804174</v>
      </c>
      <c r="J95" s="98">
        <f t="shared" si="82"/>
        <v>21551613.559322033</v>
      </c>
      <c r="K95" s="98">
        <f t="shared" si="82"/>
        <v>21681528.736097068</v>
      </c>
      <c r="L95" s="98">
        <f t="shared" si="82"/>
        <v>21756758.960000001</v>
      </c>
      <c r="M95" s="98">
        <f t="shared" si="82"/>
        <v>21953590.990631849</v>
      </c>
      <c r="N95" s="98">
        <f t="shared" si="82"/>
        <v>22294476.352824576</v>
      </c>
      <c r="O95" s="98">
        <f t="shared" si="82"/>
        <v>22040631.664884828</v>
      </c>
      <c r="P95" s="98">
        <f t="shared" si="82"/>
        <v>22297142.938713361</v>
      </c>
      <c r="Q95" s="98">
        <f t="shared" si="82"/>
        <v>22686525.736665424</v>
      </c>
      <c r="R95" s="98">
        <f t="shared" si="82"/>
        <v>23160772.494943921</v>
      </c>
      <c r="S95" s="98">
        <f t="shared" si="82"/>
        <v>22713434.291449945</v>
      </c>
      <c r="T95" s="98">
        <f t="shared" si="82"/>
        <v>23356353.99964368</v>
      </c>
      <c r="U95" s="98">
        <f t="shared" si="82"/>
        <v>23236914.996342357</v>
      </c>
      <c r="V95" s="98">
        <f t="shared" si="82"/>
        <v>24519270.767287895</v>
      </c>
    </row>
    <row r="96" spans="1:24" x14ac:dyDescent="0.3">
      <c r="A96" s="70" t="s">
        <v>255</v>
      </c>
      <c r="B96" s="98">
        <f>B93*B4</f>
        <v>39116375.659127824</v>
      </c>
      <c r="C96" s="98">
        <f t="shared" ref="C96:V96" si="83">C93*C4</f>
        <v>39452343.262758538</v>
      </c>
      <c r="D96" s="98">
        <f t="shared" si="83"/>
        <v>39702248.821147889</v>
      </c>
      <c r="E96" s="98">
        <f t="shared" si="83"/>
        <v>40852230.650444545</v>
      </c>
      <c r="F96" s="98">
        <f t="shared" si="83"/>
        <v>42803624.034926459</v>
      </c>
      <c r="G96" s="98">
        <f t="shared" si="83"/>
        <v>43267598.900494777</v>
      </c>
      <c r="H96" s="98">
        <f t="shared" si="83"/>
        <v>44092935.00550054</v>
      </c>
      <c r="I96" s="98">
        <f t="shared" si="83"/>
        <v>44124018.172031432</v>
      </c>
      <c r="J96" s="98">
        <f t="shared" si="83"/>
        <v>44924904.06571696</v>
      </c>
      <c r="K96" s="98">
        <f t="shared" si="83"/>
        <v>45547792.113245703</v>
      </c>
      <c r="L96" s="98">
        <f t="shared" si="83"/>
        <v>46101105.79999999</v>
      </c>
      <c r="M96" s="98">
        <f t="shared" si="83"/>
        <v>46483896.392266288</v>
      </c>
      <c r="N96" s="98">
        <f t="shared" si="83"/>
        <v>47423952.26957383</v>
      </c>
      <c r="O96" s="98">
        <f t="shared" si="83"/>
        <v>45168485.489357561</v>
      </c>
      <c r="P96" s="98">
        <f t="shared" si="83"/>
        <v>45386425.352112673</v>
      </c>
      <c r="Q96" s="98">
        <f t="shared" si="83"/>
        <v>45045660.2387169</v>
      </c>
      <c r="R96" s="98">
        <f t="shared" si="83"/>
        <v>46006557.124471404</v>
      </c>
      <c r="S96" s="98">
        <f t="shared" si="83"/>
        <v>45003241.755634636</v>
      </c>
      <c r="T96" s="98">
        <f t="shared" si="83"/>
        <v>46355967.112061277</v>
      </c>
      <c r="U96" s="98">
        <f t="shared" si="83"/>
        <v>45859403.430057712</v>
      </c>
      <c r="V96" s="98">
        <f t="shared" si="83"/>
        <v>47457970.672898524</v>
      </c>
    </row>
    <row r="97" spans="1:22" x14ac:dyDescent="0.3">
      <c r="A97" s="74" t="s">
        <v>233</v>
      </c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</row>
    <row r="98" spans="1:22" x14ac:dyDescent="0.3">
      <c r="A98" s="70" t="s">
        <v>254</v>
      </c>
      <c r="B98" s="97">
        <f>B95/B$90</f>
        <v>5.8458762045600361</v>
      </c>
      <c r="C98" s="97">
        <f t="shared" ref="C98:V98" si="84">C95/C$90</f>
        <v>5.8632927903550875</v>
      </c>
      <c r="D98" s="97">
        <f t="shared" si="84"/>
        <v>5.7283664762408071</v>
      </c>
      <c r="E98" s="97">
        <f t="shared" si="84"/>
        <v>5.6601113853486487</v>
      </c>
      <c r="F98" s="97">
        <f t="shared" si="84"/>
        <v>5.7838678859420876</v>
      </c>
      <c r="G98" s="97">
        <f t="shared" si="84"/>
        <v>5.7073633004690203</v>
      </c>
      <c r="H98" s="97">
        <f t="shared" si="84"/>
        <v>5.8270512501027207</v>
      </c>
      <c r="I98" s="97">
        <f t="shared" si="84"/>
        <v>5.7578545004906916</v>
      </c>
      <c r="J98" s="97">
        <f t="shared" si="84"/>
        <v>5.7865814950982957</v>
      </c>
      <c r="K98" s="97">
        <f t="shared" si="84"/>
        <v>5.8327173908976926</v>
      </c>
      <c r="L98" s="97">
        <f t="shared" si="84"/>
        <v>5.8724027643271803</v>
      </c>
      <c r="M98" s="97">
        <f t="shared" si="84"/>
        <v>5.8905184044248262</v>
      </c>
      <c r="N98" s="97">
        <f t="shared" si="84"/>
        <v>5.9409573953998072</v>
      </c>
      <c r="O98" s="97">
        <f t="shared" si="84"/>
        <v>5.7980926465731937</v>
      </c>
      <c r="P98" s="97">
        <f t="shared" si="84"/>
        <v>5.7793500790196344</v>
      </c>
      <c r="Q98" s="97">
        <f t="shared" si="84"/>
        <v>5.7962078811029309</v>
      </c>
      <c r="R98" s="97">
        <f t="shared" si="84"/>
        <v>5.83848027484912</v>
      </c>
      <c r="S98" s="97">
        <f t="shared" si="84"/>
        <v>5.7550562069322728</v>
      </c>
      <c r="T98" s="97">
        <f t="shared" si="84"/>
        <v>5.8113624894736411</v>
      </c>
      <c r="U98" s="97">
        <f t="shared" si="84"/>
        <v>5.709541580475876</v>
      </c>
      <c r="V98" s="97">
        <f t="shared" si="84"/>
        <v>6.1407528374372404</v>
      </c>
    </row>
    <row r="99" spans="1:22" x14ac:dyDescent="0.3">
      <c r="A99" s="70" t="s">
        <v>255</v>
      </c>
      <c r="B99" s="97">
        <f>B96/B$90</f>
        <v>11.448097780006943</v>
      </c>
      <c r="C99" s="97">
        <f t="shared" ref="C99:V99" si="85">C96/C$90</f>
        <v>11.445673346469267</v>
      </c>
      <c r="D99" s="97">
        <f t="shared" si="85"/>
        <v>11.381461715776533</v>
      </c>
      <c r="E99" s="97">
        <f t="shared" si="85"/>
        <v>11.500203572172024</v>
      </c>
      <c r="F99" s="97">
        <f t="shared" si="85"/>
        <v>11.78462611894264</v>
      </c>
      <c r="G99" s="97">
        <f t="shared" si="85"/>
        <v>11.806602978009023</v>
      </c>
      <c r="H99" s="97">
        <f t="shared" si="85"/>
        <v>12.077030109902298</v>
      </c>
      <c r="I99" s="97">
        <f t="shared" si="85"/>
        <v>11.918082306698295</v>
      </c>
      <c r="J99" s="97">
        <f t="shared" si="85"/>
        <v>12.062280989782268</v>
      </c>
      <c r="K99" s="97">
        <f t="shared" si="85"/>
        <v>12.25316731165813</v>
      </c>
      <c r="L99" s="97">
        <f t="shared" si="85"/>
        <v>12.443225649380443</v>
      </c>
      <c r="M99" s="97">
        <f t="shared" si="85"/>
        <v>12.472412705732962</v>
      </c>
      <c r="N99" s="97">
        <f t="shared" si="85"/>
        <v>12.637375980320654</v>
      </c>
      <c r="O99" s="97">
        <f t="shared" si="85"/>
        <v>11.882194101992882</v>
      </c>
      <c r="P99" s="97">
        <f t="shared" si="85"/>
        <v>11.764020245379795</v>
      </c>
      <c r="Q99" s="97">
        <f t="shared" si="85"/>
        <v>11.50877017996466</v>
      </c>
      <c r="R99" s="97">
        <f t="shared" si="85"/>
        <v>11.597556875254645</v>
      </c>
      <c r="S99" s="97">
        <f t="shared" si="85"/>
        <v>11.402775224323214</v>
      </c>
      <c r="T99" s="97">
        <f t="shared" si="85"/>
        <v>11.533963239400141</v>
      </c>
      <c r="U99" s="97">
        <f t="shared" si="85"/>
        <v>11.268112431488742</v>
      </c>
      <c r="V99" s="97">
        <f t="shared" si="85"/>
        <v>11.885658053803942</v>
      </c>
    </row>
    <row r="100" spans="1:22" x14ac:dyDescent="0.3">
      <c r="A100" s="74" t="s">
        <v>131</v>
      </c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</row>
    <row r="101" spans="1:22" x14ac:dyDescent="0.3">
      <c r="A101" s="70" t="s">
        <v>256</v>
      </c>
      <c r="B101" s="98">
        <v>100</v>
      </c>
      <c r="C101" s="97">
        <f>C90/B90*B101</f>
        <v>100.88025649392934</v>
      </c>
      <c r="D101" s="97">
        <f t="shared" ref="D101:V101" si="86">D90/C90*C101</f>
        <v>102.09201763615263</v>
      </c>
      <c r="E101" s="97">
        <f t="shared" si="86"/>
        <v>103.96447600052095</v>
      </c>
      <c r="F101" s="97">
        <f t="shared" si="86"/>
        <v>106.30151499409541</v>
      </c>
      <c r="G101" s="97">
        <f t="shared" si="86"/>
        <v>107.25376773017211</v>
      </c>
      <c r="H101" s="97">
        <f t="shared" si="86"/>
        <v>106.85222771299253</v>
      </c>
      <c r="I101" s="97">
        <f t="shared" si="86"/>
        <v>108.3536127626509</v>
      </c>
      <c r="J101" s="97">
        <f t="shared" si="86"/>
        <v>109.00149114168184</v>
      </c>
      <c r="K101" s="97">
        <f t="shared" si="86"/>
        <v>108.79118016766927</v>
      </c>
      <c r="L101" s="97">
        <f t="shared" si="86"/>
        <v>108.43090628928145</v>
      </c>
      <c r="M101" s="97">
        <f t="shared" si="86"/>
        <v>109.07538972356073</v>
      </c>
      <c r="N101" s="97">
        <f t="shared" si="86"/>
        <v>109.82862845695367</v>
      </c>
      <c r="O101" s="97">
        <f t="shared" si="86"/>
        <v>111.25348091587409</v>
      </c>
      <c r="P101" s="97">
        <f t="shared" si="86"/>
        <v>112.91325769825667</v>
      </c>
      <c r="Q101" s="97">
        <f t="shared" si="86"/>
        <v>114.55096733975343</v>
      </c>
      <c r="R101" s="97">
        <f t="shared" si="86"/>
        <v>116.09885727915659</v>
      </c>
      <c r="S101" s="97">
        <f t="shared" si="86"/>
        <v>115.50690768823279</v>
      </c>
      <c r="T101" s="97">
        <f t="shared" si="86"/>
        <v>117.62558734739204</v>
      </c>
      <c r="U101" s="97">
        <f t="shared" si="86"/>
        <v>119.11102201007063</v>
      </c>
      <c r="V101" s="97">
        <f t="shared" si="86"/>
        <v>116.85859323440185</v>
      </c>
    </row>
    <row r="102" spans="1:22" x14ac:dyDescent="0.3">
      <c r="A102" s="70" t="s">
        <v>254</v>
      </c>
      <c r="B102" s="98">
        <v>100</v>
      </c>
      <c r="C102" s="97">
        <f>C98/B98*B102</f>
        <v>100.2979294324</v>
      </c>
      <c r="D102" s="97">
        <f t="shared" ref="D102:V102" si="87">D98/C98*C102</f>
        <v>97.989869709735459</v>
      </c>
      <c r="E102" s="97">
        <f t="shared" si="87"/>
        <v>96.822292968392276</v>
      </c>
      <c r="F102" s="97">
        <f t="shared" si="87"/>
        <v>98.939281017111185</v>
      </c>
      <c r="G102" s="97">
        <f t="shared" si="87"/>
        <v>97.630587798233407</v>
      </c>
      <c r="H102" s="97">
        <f t="shared" si="87"/>
        <v>99.677978906863771</v>
      </c>
      <c r="I102" s="97">
        <f t="shared" si="87"/>
        <v>98.494294080317971</v>
      </c>
      <c r="J102" s="97">
        <f t="shared" si="87"/>
        <v>98.985700220345294</v>
      </c>
      <c r="K102" s="97">
        <f t="shared" si="87"/>
        <v>99.774904339368689</v>
      </c>
      <c r="L102" s="97">
        <f t="shared" si="87"/>
        <v>100.45376533540777</v>
      </c>
      <c r="M102" s="97">
        <f t="shared" si="87"/>
        <v>100.76365284352016</v>
      </c>
      <c r="N102" s="97">
        <f t="shared" si="87"/>
        <v>101.62646603370774</v>
      </c>
      <c r="O102" s="97">
        <f t="shared" si="87"/>
        <v>99.182610847120444</v>
      </c>
      <c r="P102" s="97">
        <f t="shared" si="87"/>
        <v>98.861999070584034</v>
      </c>
      <c r="Q102" s="97">
        <f t="shared" si="87"/>
        <v>99.150369906595685</v>
      </c>
      <c r="R102" s="97">
        <f t="shared" si="87"/>
        <v>99.873484667616694</v>
      </c>
      <c r="S102" s="97">
        <f t="shared" si="87"/>
        <v>98.446426259301901</v>
      </c>
      <c r="T102" s="97">
        <f t="shared" si="87"/>
        <v>99.409605782286775</v>
      </c>
      <c r="U102" s="97">
        <f t="shared" si="87"/>
        <v>97.667849620595561</v>
      </c>
      <c r="V102" s="97">
        <f t="shared" si="87"/>
        <v>105.04418195936458</v>
      </c>
    </row>
    <row r="103" spans="1:22" x14ac:dyDescent="0.3">
      <c r="A103" s="70" t="s">
        <v>255</v>
      </c>
      <c r="B103" s="98">
        <v>100</v>
      </c>
      <c r="C103" s="97">
        <f>C99/B99*B103</f>
        <v>99.97882238967324</v>
      </c>
      <c r="D103" s="97">
        <f t="shared" ref="D103:V103" si="88">D99/C99*C103</f>
        <v>99.417928938842721</v>
      </c>
      <c r="E103" s="97">
        <f t="shared" si="88"/>
        <v>100.45514803565078</v>
      </c>
      <c r="F103" s="97">
        <f t="shared" si="88"/>
        <v>102.93960049435823</v>
      </c>
      <c r="G103" s="97">
        <f t="shared" si="88"/>
        <v>103.13157002055117</v>
      </c>
      <c r="H103" s="97">
        <f t="shared" si="88"/>
        <v>105.4937714717438</v>
      </c>
      <c r="I103" s="97">
        <f t="shared" si="88"/>
        <v>104.10535038853476</v>
      </c>
      <c r="J103" s="97">
        <f t="shared" si="88"/>
        <v>105.36493679192662</v>
      </c>
      <c r="K103" s="97">
        <f t="shared" si="88"/>
        <v>107.03234325144541</v>
      </c>
      <c r="L103" s="97">
        <f t="shared" si="88"/>
        <v>108.6925172067573</v>
      </c>
      <c r="M103" s="97">
        <f t="shared" si="88"/>
        <v>108.94746835159719</v>
      </c>
      <c r="N103" s="97">
        <f t="shared" si="88"/>
        <v>110.38843503233069</v>
      </c>
      <c r="O103" s="97">
        <f t="shared" si="88"/>
        <v>103.79186420598234</v>
      </c>
      <c r="P103" s="97">
        <f t="shared" si="88"/>
        <v>102.75960663023498</v>
      </c>
      <c r="Q103" s="97">
        <f t="shared" si="88"/>
        <v>100.52997800266591</v>
      </c>
      <c r="R103" s="97">
        <f t="shared" si="88"/>
        <v>101.30553650152014</v>
      </c>
      <c r="S103" s="97">
        <f t="shared" si="88"/>
        <v>99.604104048072728</v>
      </c>
      <c r="T103" s="97">
        <f t="shared" si="88"/>
        <v>100.75004128234438</v>
      </c>
      <c r="U103" s="97">
        <f t="shared" si="88"/>
        <v>98.427814367269605</v>
      </c>
      <c r="V103" s="97">
        <f t="shared" si="88"/>
        <v>103.82212208705242</v>
      </c>
    </row>
    <row r="104" spans="1:22" x14ac:dyDescent="0.3">
      <c r="A104" s="74" t="s">
        <v>234</v>
      </c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</row>
    <row r="105" spans="1:22" x14ac:dyDescent="0.3">
      <c r="A105" s="70" t="s">
        <v>254</v>
      </c>
      <c r="B105" s="97">
        <f>B95/B$91</f>
        <v>5.8212697040207457</v>
      </c>
      <c r="C105" s="97">
        <f t="shared" ref="C105:V105" si="89">C95/C$91</f>
        <v>5.8395073137226987</v>
      </c>
      <c r="D105" s="97">
        <f t="shared" si="89"/>
        <v>5.7066919076698879</v>
      </c>
      <c r="E105" s="97">
        <f t="shared" si="89"/>
        <v>5.6377069159877689</v>
      </c>
      <c r="F105" s="97">
        <f t="shared" si="89"/>
        <v>5.7608887763900416</v>
      </c>
      <c r="G105" s="97">
        <f t="shared" si="89"/>
        <v>5.6843092975874585</v>
      </c>
      <c r="H105" s="97">
        <f t="shared" si="89"/>
        <v>5.803379783784786</v>
      </c>
      <c r="I105" s="97">
        <f t="shared" si="89"/>
        <v>5.7338598779709153</v>
      </c>
      <c r="J105" s="97">
        <f t="shared" si="89"/>
        <v>5.7617748785966043</v>
      </c>
      <c r="K105" s="97">
        <f t="shared" si="89"/>
        <v>5.8078671056807458</v>
      </c>
      <c r="L105" s="97">
        <f t="shared" si="89"/>
        <v>5.8467789311538656</v>
      </c>
      <c r="M105" s="97">
        <f t="shared" si="89"/>
        <v>5.8648351224072313</v>
      </c>
      <c r="N105" s="97">
        <f t="shared" si="89"/>
        <v>5.9141593400880863</v>
      </c>
      <c r="O105" s="97">
        <f t="shared" si="89"/>
        <v>5.7715378808863163</v>
      </c>
      <c r="P105" s="97">
        <f t="shared" si="89"/>
        <v>5.7520870597608429</v>
      </c>
      <c r="Q105" s="97">
        <f t="shared" si="89"/>
        <v>5.7681777513235719</v>
      </c>
      <c r="R105" s="97">
        <f t="shared" si="89"/>
        <v>5.8094733132944762</v>
      </c>
      <c r="S105" s="97">
        <f t="shared" si="89"/>
        <v>5.7259440307298668</v>
      </c>
      <c r="T105" s="97">
        <f t="shared" si="89"/>
        <v>5.7806418750725301</v>
      </c>
      <c r="U105" s="97">
        <f t="shared" si="89"/>
        <v>5.6784039993446873</v>
      </c>
      <c r="V105" s="97">
        <f t="shared" si="89"/>
        <v>6.1066505861607263</v>
      </c>
    </row>
    <row r="106" spans="1:22" x14ac:dyDescent="0.3">
      <c r="A106" s="70" t="s">
        <v>255</v>
      </c>
      <c r="B106" s="97">
        <f>B96/B$91</f>
        <v>11.399910371594522</v>
      </c>
      <c r="C106" s="97">
        <f t="shared" ref="C106:V106" si="90">C96/C$91</f>
        <v>11.399241963002927</v>
      </c>
      <c r="D106" s="97">
        <f t="shared" si="90"/>
        <v>11.338397384362148</v>
      </c>
      <c r="E106" s="97">
        <f t="shared" si="90"/>
        <v>11.454682213839121</v>
      </c>
      <c r="F106" s="97">
        <f t="shared" si="90"/>
        <v>11.73780620189798</v>
      </c>
      <c r="G106" s="97">
        <f t="shared" si="90"/>
        <v>11.758912048809878</v>
      </c>
      <c r="H106" s="97">
        <f t="shared" si="90"/>
        <v>12.027969101306878</v>
      </c>
      <c r="I106" s="97">
        <f t="shared" si="90"/>
        <v>11.868416257289706</v>
      </c>
      <c r="J106" s="97">
        <f t="shared" si="90"/>
        <v>12.01057094665877</v>
      </c>
      <c r="K106" s="97">
        <f t="shared" si="90"/>
        <v>12.20096270750898</v>
      </c>
      <c r="L106" s="97">
        <f t="shared" si="90"/>
        <v>12.388930473968683</v>
      </c>
      <c r="M106" s="97">
        <f t="shared" si="90"/>
        <v>12.418031669809105</v>
      </c>
      <c r="N106" s="97">
        <f t="shared" si="90"/>
        <v>12.580372188174648</v>
      </c>
      <c r="O106" s="97">
        <f t="shared" si="90"/>
        <v>11.827774674871293</v>
      </c>
      <c r="P106" s="97">
        <f t="shared" si="90"/>
        <v>11.708525647176634</v>
      </c>
      <c r="Q106" s="97">
        <f t="shared" si="90"/>
        <v>11.453114425657271</v>
      </c>
      <c r="R106" s="97">
        <f t="shared" si="90"/>
        <v>11.539937448525144</v>
      </c>
      <c r="S106" s="97">
        <f t="shared" si="90"/>
        <v>11.345093841276588</v>
      </c>
      <c r="T106" s="97">
        <f t="shared" si="90"/>
        <v>11.472991231917213</v>
      </c>
      <c r="U106" s="97">
        <f t="shared" si="90"/>
        <v>11.20666060386205</v>
      </c>
      <c r="V106" s="97">
        <f t="shared" si="90"/>
        <v>11.819651863965712</v>
      </c>
    </row>
    <row r="107" spans="1:22" x14ac:dyDescent="0.3">
      <c r="A107" s="74" t="s">
        <v>131</v>
      </c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</row>
    <row r="108" spans="1:22" x14ac:dyDescent="0.3">
      <c r="A108" s="70" t="s">
        <v>256</v>
      </c>
      <c r="B108" s="98">
        <v>100</v>
      </c>
      <c r="C108" s="97">
        <f>C91/B91*B108</f>
        <v>100.86480645168811</v>
      </c>
      <c r="D108" s="97">
        <f t="shared" ref="D108:V108" si="91">D91/C91*C108</f>
        <v>102.04841447293261</v>
      </c>
      <c r="E108" s="97">
        <f t="shared" si="91"/>
        <v>103.93828789655663</v>
      </c>
      <c r="F108" s="97">
        <f t="shared" si="91"/>
        <v>106.2763020766546</v>
      </c>
      <c r="G108" s="97">
        <f t="shared" si="91"/>
        <v>107.23547542497161</v>
      </c>
      <c r="H108" s="97">
        <f t="shared" si="91"/>
        <v>106.83647073635322</v>
      </c>
      <c r="I108" s="97">
        <f t="shared" si="91"/>
        <v>108.34905143491306</v>
      </c>
      <c r="J108" s="97">
        <f t="shared" si="91"/>
        <v>109.00999857779351</v>
      </c>
      <c r="K108" s="97">
        <f t="shared" si="91"/>
        <v>108.79678418133363</v>
      </c>
      <c r="L108" s="97">
        <f t="shared" si="91"/>
        <v>108.44770243710231</v>
      </c>
      <c r="M108" s="97">
        <f t="shared" si="91"/>
        <v>109.09192116779469</v>
      </c>
      <c r="N108" s="97">
        <f t="shared" si="91"/>
        <v>109.86189442565006</v>
      </c>
      <c r="O108" s="97">
        <f t="shared" si="91"/>
        <v>111.29491316380319</v>
      </c>
      <c r="P108" s="97">
        <f t="shared" si="91"/>
        <v>112.9709018887368</v>
      </c>
      <c r="Q108" s="97">
        <f t="shared" si="91"/>
        <v>114.62310945627412</v>
      </c>
      <c r="R108" s="97">
        <f t="shared" si="91"/>
        <v>116.18742000088594</v>
      </c>
      <c r="S108" s="97">
        <f t="shared" si="91"/>
        <v>115.60551023405785</v>
      </c>
      <c r="T108" s="97">
        <f t="shared" si="91"/>
        <v>117.75295457565785</v>
      </c>
      <c r="U108" s="97">
        <f t="shared" si="91"/>
        <v>119.26005628207247</v>
      </c>
      <c r="V108" s="97">
        <f t="shared" si="91"/>
        <v>117.0165547164796</v>
      </c>
    </row>
    <row r="109" spans="1:22" x14ac:dyDescent="0.3">
      <c r="A109" s="70" t="s">
        <v>254</v>
      </c>
      <c r="B109" s="98">
        <v>100</v>
      </c>
      <c r="C109" s="99">
        <f>C105/B105*B109</f>
        <v>100.31329264282938</v>
      </c>
      <c r="D109" s="99">
        <f t="shared" ref="D109:V109" si="92">D105/C105*C109</f>
        <v>98.031738741262586</v>
      </c>
      <c r="E109" s="99">
        <f t="shared" si="92"/>
        <v>96.846688139080882</v>
      </c>
      <c r="F109" s="99">
        <f t="shared" si="92"/>
        <v>98.962753304678529</v>
      </c>
      <c r="G109" s="99">
        <f t="shared" si="92"/>
        <v>97.647241694733879</v>
      </c>
      <c r="H109" s="99">
        <f t="shared" si="92"/>
        <v>99.692680099951303</v>
      </c>
      <c r="I109" s="99">
        <f t="shared" si="92"/>
        <v>98.49844053799022</v>
      </c>
      <c r="J109" s="99">
        <f t="shared" si="92"/>
        <v>98.977975107680535</v>
      </c>
      <c r="K109" s="99">
        <f t="shared" si="92"/>
        <v>99.769765033722024</v>
      </c>
      <c r="L109" s="99">
        <f t="shared" si="92"/>
        <v>100.43820727143941</v>
      </c>
      <c r="M109" s="99">
        <f t="shared" si="92"/>
        <v>100.74838343869196</v>
      </c>
      <c r="N109" s="99">
        <f t="shared" si="92"/>
        <v>101.59569373676639</v>
      </c>
      <c r="O109" s="99">
        <f t="shared" si="92"/>
        <v>99.145687699367684</v>
      </c>
      <c r="P109" s="99">
        <f t="shared" si="92"/>
        <v>98.811554046153873</v>
      </c>
      <c r="Q109" s="99">
        <f t="shared" si="92"/>
        <v>99.087966107110532</v>
      </c>
      <c r="R109" s="99">
        <f t="shared" si="92"/>
        <v>99.797357083144192</v>
      </c>
      <c r="S109" s="99">
        <f t="shared" si="92"/>
        <v>98.362459083023779</v>
      </c>
      <c r="T109" s="99">
        <f t="shared" si="92"/>
        <v>99.302079597511934</v>
      </c>
      <c r="U109" s="99">
        <f t="shared" si="92"/>
        <v>97.545798220319824</v>
      </c>
      <c r="V109" s="99">
        <f t="shared" si="92"/>
        <v>104.9023820686897</v>
      </c>
    </row>
    <row r="110" spans="1:22" x14ac:dyDescent="0.3">
      <c r="A110" s="70" t="s">
        <v>255</v>
      </c>
      <c r="B110" s="98">
        <v>100</v>
      </c>
      <c r="C110" s="99">
        <f>C106/B106*B110</f>
        <v>99.994136720642473</v>
      </c>
      <c r="D110" s="99">
        <f t="shared" ref="D110:V110" si="93">D106/C106*C110</f>
        <v>99.460408150351356</v>
      </c>
      <c r="E110" s="99">
        <f t="shared" si="93"/>
        <v>100.48045853396422</v>
      </c>
      <c r="F110" s="99">
        <f t="shared" si="93"/>
        <v>102.96402181499077</v>
      </c>
      <c r="G110" s="99">
        <f t="shared" si="93"/>
        <v>103.14916227859027</v>
      </c>
      <c r="H110" s="99">
        <f t="shared" si="93"/>
        <v>105.5093304178716</v>
      </c>
      <c r="I110" s="99">
        <f t="shared" si="93"/>
        <v>104.10973306301226</v>
      </c>
      <c r="J110" s="99">
        <f t="shared" si="93"/>
        <v>105.35671382632839</v>
      </c>
      <c r="K110" s="99">
        <f t="shared" si="93"/>
        <v>107.02683012237064</v>
      </c>
      <c r="L110" s="99">
        <f t="shared" si="93"/>
        <v>108.67568314254935</v>
      </c>
      <c r="M110" s="99">
        <f t="shared" si="93"/>
        <v>108.9309587972855</v>
      </c>
      <c r="N110" s="99">
        <f t="shared" si="93"/>
        <v>110.35500962815915</v>
      </c>
      <c r="O110" s="99">
        <f t="shared" si="93"/>
        <v>103.75322515116341</v>
      </c>
      <c r="P110" s="99">
        <f t="shared" si="93"/>
        <v>102.70717282436797</v>
      </c>
      <c r="Q110" s="99">
        <f t="shared" si="93"/>
        <v>100.46670589792811</v>
      </c>
      <c r="R110" s="99">
        <f t="shared" si="93"/>
        <v>101.22831734957788</v>
      </c>
      <c r="S110" s="99">
        <f t="shared" si="93"/>
        <v>99.519149462310509</v>
      </c>
      <c r="T110" s="99">
        <f t="shared" si="93"/>
        <v>100.64106521841427</v>
      </c>
      <c r="U110" s="99">
        <f t="shared" si="93"/>
        <v>98.304813271041183</v>
      </c>
      <c r="V110" s="99">
        <f t="shared" si="93"/>
        <v>103.6819718637181</v>
      </c>
    </row>
    <row r="111" spans="1:22" x14ac:dyDescent="0.3"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</row>
    <row r="112" spans="1:22" s="74" customFormat="1" ht="13.95" customHeight="1" x14ac:dyDescent="0.3">
      <c r="A112" s="74" t="s">
        <v>149</v>
      </c>
      <c r="B112" s="74">
        <f t="shared" ref="B112:U112" si="94">B79/B78</f>
        <v>0.27106728475576081</v>
      </c>
      <c r="C112" s="74">
        <f t="shared" si="94"/>
        <v>0.30652955604275928</v>
      </c>
      <c r="D112" s="74">
        <f t="shared" si="94"/>
        <v>0.45860830025383642</v>
      </c>
      <c r="E112" s="74">
        <f t="shared" si="94"/>
        <v>0.40966123583889957</v>
      </c>
      <c r="F112" s="74">
        <f t="shared" si="94"/>
        <v>0.41879220785281329</v>
      </c>
      <c r="G112" s="74">
        <f t="shared" si="94"/>
        <v>0.41615773516273291</v>
      </c>
      <c r="H112" s="74">
        <f t="shared" si="94"/>
        <v>0.40300446788388161</v>
      </c>
      <c r="I112" s="74">
        <f t="shared" si="94"/>
        <v>0.41505024879972913</v>
      </c>
      <c r="J112" s="74">
        <f t="shared" si="94"/>
        <v>0.41554837640457903</v>
      </c>
      <c r="K112" s="74">
        <f t="shared" si="94"/>
        <v>0.41778725765949914</v>
      </c>
      <c r="L112" s="74">
        <f t="shared" si="94"/>
        <v>0.41549423993920259</v>
      </c>
      <c r="M112" s="74">
        <f t="shared" si="94"/>
        <v>0.42219802804737622</v>
      </c>
      <c r="N112" s="74">
        <f t="shared" si="94"/>
        <v>0.41527223001066416</v>
      </c>
      <c r="O112" s="74">
        <f t="shared" si="94"/>
        <v>0.41416459806414413</v>
      </c>
      <c r="P112" s="74">
        <f t="shared" si="94"/>
        <v>0.41190533673719759</v>
      </c>
      <c r="Q112" s="74">
        <f t="shared" si="94"/>
        <v>0.40966507432249777</v>
      </c>
      <c r="R112" s="74">
        <f t="shared" si="94"/>
        <v>0.40961686833444683</v>
      </c>
      <c r="S112" s="74">
        <f t="shared" si="94"/>
        <v>0.37116953079021903</v>
      </c>
      <c r="T112" s="74">
        <f t="shared" si="94"/>
        <v>0.36822554775722144</v>
      </c>
      <c r="U112" s="74">
        <f t="shared" si="94"/>
        <v>0.36579926685370961</v>
      </c>
    </row>
    <row r="113" spans="2:21" s="74" customFormat="1" x14ac:dyDescent="0.3">
      <c r="B113" s="80">
        <v>100</v>
      </c>
      <c r="C113" s="80">
        <f>C112/B112*B113</f>
        <v>113.08246080634592</v>
      </c>
      <c r="D113" s="80">
        <f>D112/C112*C113</f>
        <v>169.18614899140459</v>
      </c>
      <c r="E113" s="80">
        <f t="shared" ref="E113:U113" si="95">E112/D112*D113</f>
        <v>151.12898489687379</v>
      </c>
      <c r="F113" s="80">
        <f t="shared" si="95"/>
        <v>154.49751091510612</v>
      </c>
      <c r="G113" s="80">
        <f t="shared" si="95"/>
        <v>153.52562207486702</v>
      </c>
      <c r="H113" s="80">
        <f t="shared" si="95"/>
        <v>148.67322268233141</v>
      </c>
      <c r="I113" s="80">
        <f t="shared" si="95"/>
        <v>153.11705696012007</v>
      </c>
      <c r="J113" s="80">
        <f t="shared" si="95"/>
        <v>153.30082225857677</v>
      </c>
      <c r="K113" s="80">
        <f t="shared" si="95"/>
        <v>154.12677263356849</v>
      </c>
      <c r="L113" s="80">
        <f t="shared" si="95"/>
        <v>153.28085066169993</v>
      </c>
      <c r="M113" s="80">
        <f>M112/L112*L113</f>
        <v>155.75395917946662</v>
      </c>
      <c r="N113" s="80">
        <f t="shared" si="95"/>
        <v>153.19894851377438</v>
      </c>
      <c r="O113" s="80">
        <f t="shared" si="95"/>
        <v>152.79032969150742</v>
      </c>
      <c r="P113" s="80">
        <f t="shared" si="95"/>
        <v>151.95686086144104</v>
      </c>
      <c r="Q113" s="80">
        <f t="shared" si="95"/>
        <v>151.13040095990095</v>
      </c>
      <c r="R113" s="80">
        <f t="shared" si="95"/>
        <v>151.11261718784067</v>
      </c>
      <c r="S113" s="80">
        <f t="shared" si="95"/>
        <v>136.92892933378263</v>
      </c>
      <c r="T113" s="80">
        <f t="shared" si="95"/>
        <v>135.84285838440556</v>
      </c>
      <c r="U113" s="80">
        <f t="shared" si="95"/>
        <v>134.94777401238406</v>
      </c>
    </row>
    <row r="114" spans="2:21" s="74" customFormat="1" x14ac:dyDescent="0.3">
      <c r="B114" s="74" t="e">
        <f>B79*#REF!</f>
        <v>#REF!</v>
      </c>
      <c r="C114" s="74" t="e">
        <f>C79*#REF!</f>
        <v>#REF!</v>
      </c>
      <c r="D114" s="74" t="e">
        <f>D79*#REF!</f>
        <v>#REF!</v>
      </c>
      <c r="E114" s="74" t="e">
        <f>E79*#REF!</f>
        <v>#REF!</v>
      </c>
      <c r="F114" s="74" t="e">
        <f>F79*#REF!</f>
        <v>#REF!</v>
      </c>
      <c r="G114" s="74" t="e">
        <f>G79*#REF!</f>
        <v>#REF!</v>
      </c>
      <c r="H114" s="74" t="e">
        <f>H79*#REF!</f>
        <v>#REF!</v>
      </c>
      <c r="I114" s="74" t="e">
        <f>I79*#REF!</f>
        <v>#REF!</v>
      </c>
      <c r="J114" s="74" t="e">
        <f>J79*#REF!</f>
        <v>#REF!</v>
      </c>
      <c r="K114" s="74" t="e">
        <f>K79*#REF!</f>
        <v>#REF!</v>
      </c>
      <c r="L114" s="74" t="e">
        <f>L79*#REF!</f>
        <v>#REF!</v>
      </c>
      <c r="M114" s="74" t="e">
        <f>M79*#REF!</f>
        <v>#REF!</v>
      </c>
      <c r="N114" s="74" t="e">
        <f>N79*#REF!</f>
        <v>#REF!</v>
      </c>
      <c r="O114" s="74" t="e">
        <f>O79*#REF!</f>
        <v>#REF!</v>
      </c>
      <c r="P114" s="74" t="e">
        <f>P79*#REF!</f>
        <v>#REF!</v>
      </c>
      <c r="Q114" s="74" t="e">
        <f>Q79*#REF!</f>
        <v>#REF!</v>
      </c>
      <c r="R114" s="74" t="e">
        <f>R79*#REF!</f>
        <v>#REF!</v>
      </c>
      <c r="S114" s="74" t="e">
        <f>S79*#REF!</f>
        <v>#REF!</v>
      </c>
      <c r="T114" s="74" t="e">
        <f>T79*#REF!</f>
        <v>#REF!</v>
      </c>
      <c r="U114" s="74" t="e">
        <f>U79*#REF!</f>
        <v>#REF!</v>
      </c>
    </row>
    <row r="115" spans="2:21" s="74" customFormat="1" x14ac:dyDescent="0.3">
      <c r="B115" s="74" t="e">
        <f t="shared" ref="B115:U115" si="96">B114/B78</f>
        <v>#REF!</v>
      </c>
      <c r="C115" s="74" t="e">
        <f t="shared" si="96"/>
        <v>#REF!</v>
      </c>
      <c r="D115" s="74" t="e">
        <f t="shared" si="96"/>
        <v>#REF!</v>
      </c>
      <c r="E115" s="74" t="e">
        <f t="shared" si="96"/>
        <v>#REF!</v>
      </c>
      <c r="F115" s="74" t="e">
        <f t="shared" si="96"/>
        <v>#REF!</v>
      </c>
      <c r="G115" s="74" t="e">
        <f t="shared" si="96"/>
        <v>#REF!</v>
      </c>
      <c r="H115" s="74" t="e">
        <f t="shared" si="96"/>
        <v>#REF!</v>
      </c>
      <c r="I115" s="74" t="e">
        <f t="shared" si="96"/>
        <v>#REF!</v>
      </c>
      <c r="J115" s="74" t="e">
        <f t="shared" si="96"/>
        <v>#REF!</v>
      </c>
      <c r="K115" s="74" t="e">
        <f t="shared" si="96"/>
        <v>#REF!</v>
      </c>
      <c r="L115" s="74" t="e">
        <f t="shared" si="96"/>
        <v>#REF!</v>
      </c>
      <c r="M115" s="74" t="e">
        <f t="shared" si="96"/>
        <v>#REF!</v>
      </c>
      <c r="N115" s="74" t="e">
        <f t="shared" si="96"/>
        <v>#REF!</v>
      </c>
      <c r="O115" s="74" t="e">
        <f t="shared" si="96"/>
        <v>#REF!</v>
      </c>
      <c r="P115" s="74" t="e">
        <f t="shared" si="96"/>
        <v>#REF!</v>
      </c>
      <c r="Q115" s="74" t="e">
        <f t="shared" si="96"/>
        <v>#REF!</v>
      </c>
      <c r="R115" s="74" t="e">
        <f t="shared" si="96"/>
        <v>#REF!</v>
      </c>
      <c r="S115" s="74" t="e">
        <f t="shared" si="96"/>
        <v>#REF!</v>
      </c>
      <c r="T115" s="74" t="e">
        <f t="shared" si="96"/>
        <v>#REF!</v>
      </c>
      <c r="U115" s="74" t="e">
        <f t="shared" si="96"/>
        <v>#REF!</v>
      </c>
    </row>
    <row r="116" spans="2:21" s="74" customFormat="1" x14ac:dyDescent="0.3">
      <c r="B116" s="80">
        <v>100</v>
      </c>
      <c r="C116" s="80" t="e">
        <f t="shared" ref="C116:I116" si="97">C115/B115*B116</f>
        <v>#REF!</v>
      </c>
      <c r="D116" s="80" t="e">
        <f t="shared" si="97"/>
        <v>#REF!</v>
      </c>
      <c r="E116" s="80" t="e">
        <f t="shared" si="97"/>
        <v>#REF!</v>
      </c>
      <c r="F116" s="80" t="e">
        <f t="shared" si="97"/>
        <v>#REF!</v>
      </c>
      <c r="G116" s="80" t="e">
        <f t="shared" si="97"/>
        <v>#REF!</v>
      </c>
      <c r="H116" s="80" t="e">
        <f t="shared" si="97"/>
        <v>#REF!</v>
      </c>
      <c r="I116" s="80" t="e">
        <f t="shared" si="97"/>
        <v>#REF!</v>
      </c>
      <c r="J116" s="80" t="e">
        <f t="shared" ref="J116:U116" si="98">J115/I115*I116</f>
        <v>#REF!</v>
      </c>
      <c r="K116" s="80" t="e">
        <f t="shared" si="98"/>
        <v>#REF!</v>
      </c>
      <c r="L116" s="80" t="e">
        <f t="shared" si="98"/>
        <v>#REF!</v>
      </c>
      <c r="M116" s="80" t="e">
        <f t="shared" si="98"/>
        <v>#REF!</v>
      </c>
      <c r="N116" s="80" t="e">
        <f t="shared" si="98"/>
        <v>#REF!</v>
      </c>
      <c r="O116" s="80" t="e">
        <f t="shared" si="98"/>
        <v>#REF!</v>
      </c>
      <c r="P116" s="80" t="e">
        <f t="shared" si="98"/>
        <v>#REF!</v>
      </c>
      <c r="Q116" s="80" t="e">
        <f t="shared" si="98"/>
        <v>#REF!</v>
      </c>
      <c r="R116" s="80" t="e">
        <f t="shared" si="98"/>
        <v>#REF!</v>
      </c>
      <c r="S116" s="80" t="e">
        <f t="shared" si="98"/>
        <v>#REF!</v>
      </c>
      <c r="T116" s="80" t="e">
        <f t="shared" si="98"/>
        <v>#REF!</v>
      </c>
      <c r="U116" s="80" t="e">
        <f t="shared" si="98"/>
        <v>#REF!</v>
      </c>
    </row>
    <row r="117" spans="2:21" s="74" customFormat="1" x14ac:dyDescent="0.3"/>
    <row r="118" spans="2:21" s="74" customFormat="1" x14ac:dyDescent="0.3">
      <c r="B118" s="74">
        <f t="shared" ref="B118:U118" si="99">B79*($V$3/B3)</f>
        <v>147598.73351838897</v>
      </c>
      <c r="C118" s="74">
        <f t="shared" si="99"/>
        <v>167571.10897346117</v>
      </c>
      <c r="D118" s="74">
        <f t="shared" si="99"/>
        <v>248142.17189259353</v>
      </c>
      <c r="E118" s="74">
        <f t="shared" si="99"/>
        <v>229074.85620530773</v>
      </c>
      <c r="F118" s="74">
        <f t="shared" si="99"/>
        <v>238901.84878536756</v>
      </c>
      <c r="G118" s="74">
        <f t="shared" si="99"/>
        <v>242193.17985605102</v>
      </c>
      <c r="H118" s="74">
        <f t="shared" si="99"/>
        <v>243644.37580623396</v>
      </c>
      <c r="I118" s="74">
        <f t="shared" si="99"/>
        <v>255077.88462461877</v>
      </c>
      <c r="J118" s="74">
        <f t="shared" si="99"/>
        <v>256919.33214226071</v>
      </c>
      <c r="K118" s="74">
        <f t="shared" si="99"/>
        <v>258212.26170709476</v>
      </c>
      <c r="L118" s="74">
        <f t="shared" si="99"/>
        <v>257561.70076928922</v>
      </c>
      <c r="M118" s="74">
        <f t="shared" si="99"/>
        <v>261955.74160815729</v>
      </c>
      <c r="N118" s="74">
        <f t="shared" si="99"/>
        <v>263827.11661622894</v>
      </c>
      <c r="O118" s="74">
        <f t="shared" si="99"/>
        <v>266295.69723348564</v>
      </c>
      <c r="P118" s="74">
        <f t="shared" si="99"/>
        <v>267918.93211842567</v>
      </c>
      <c r="Q118" s="74">
        <f t="shared" si="99"/>
        <v>269543.26515707764</v>
      </c>
      <c r="R118" s="74">
        <f t="shared" si="99"/>
        <v>272735.45103855646</v>
      </c>
      <c r="S118" s="74">
        <f t="shared" si="99"/>
        <v>259179.06610604841</v>
      </c>
      <c r="T118" s="74">
        <f t="shared" si="99"/>
        <v>263305.29151834059</v>
      </c>
      <c r="U118" s="74">
        <f t="shared" si="99"/>
        <v>249349.44006199099</v>
      </c>
    </row>
    <row r="119" spans="2:21" s="74" customFormat="1" x14ac:dyDescent="0.3">
      <c r="B119" s="74">
        <f t="shared" ref="B119:U119" si="100">B118/B78</f>
        <v>0.433598704828348</v>
      </c>
      <c r="C119" s="74">
        <f t="shared" si="100"/>
        <v>0.4802427678143501</v>
      </c>
      <c r="D119" s="74">
        <f t="shared" si="100"/>
        <v>0.69908458836125775</v>
      </c>
      <c r="E119" s="74">
        <f t="shared" si="100"/>
        <v>0.61351338898315322</v>
      </c>
      <c r="F119" s="74">
        <f t="shared" si="100"/>
        <v>0.61594707584770725</v>
      </c>
      <c r="G119" s="74">
        <f t="shared" si="100"/>
        <v>0.58575898037350083</v>
      </c>
      <c r="H119" s="74">
        <f t="shared" si="100"/>
        <v>0.56755723644897327</v>
      </c>
      <c r="I119" s="74">
        <f t="shared" si="100"/>
        <v>0.5719991761794021</v>
      </c>
      <c r="J119" s="74">
        <f t="shared" si="100"/>
        <v>0.55315349584845452</v>
      </c>
      <c r="K119" s="74">
        <f t="shared" si="100"/>
        <v>0.54078244636328454</v>
      </c>
      <c r="L119" s="74">
        <f t="shared" si="100"/>
        <v>0.53189841371016977</v>
      </c>
      <c r="M119" s="74">
        <f t="shared" si="100"/>
        <v>0.53864891760190259</v>
      </c>
      <c r="N119" s="74">
        <f t="shared" si="100"/>
        <v>0.52687235465814519</v>
      </c>
      <c r="O119" s="74">
        <f t="shared" si="100"/>
        <v>0.51530397665804717</v>
      </c>
      <c r="P119" s="74">
        <f t="shared" si="100"/>
        <v>0.5018119997797833</v>
      </c>
      <c r="Q119" s="74">
        <f t="shared" si="100"/>
        <v>0.48903036065793082</v>
      </c>
      <c r="R119" s="74">
        <f t="shared" si="100"/>
        <v>0.48205042054812008</v>
      </c>
      <c r="S119" s="74">
        <f t="shared" si="100"/>
        <v>0.43357584443883762</v>
      </c>
      <c r="T119" s="74">
        <f t="shared" si="100"/>
        <v>0.4199064702544435</v>
      </c>
      <c r="U119" s="74">
        <f t="shared" si="100"/>
        <v>0.38062340875396267</v>
      </c>
    </row>
    <row r="120" spans="2:21" s="74" customFormat="1" x14ac:dyDescent="0.3">
      <c r="B120" s="80">
        <v>100</v>
      </c>
      <c r="C120" s="80">
        <f>(C119/B119)*B120</f>
        <v>110.75742673273608</v>
      </c>
      <c r="D120" s="80">
        <f t="shared" ref="D120:U120" si="101">(D119/C119)*C120</f>
        <v>161.22847706337353</v>
      </c>
      <c r="E120" s="80">
        <f t="shared" si="101"/>
        <v>141.49336290707544</v>
      </c>
      <c r="F120" s="80">
        <f t="shared" si="101"/>
        <v>142.05463922950301</v>
      </c>
      <c r="G120" s="80">
        <f t="shared" si="101"/>
        <v>135.09241929248608</v>
      </c>
      <c r="H120" s="80">
        <f t="shared" si="101"/>
        <v>130.89458758269507</v>
      </c>
      <c r="I120" s="80">
        <f t="shared" si="101"/>
        <v>131.91902323736042</v>
      </c>
      <c r="J120" s="80">
        <f t="shared" si="101"/>
        <v>127.57268176514404</v>
      </c>
      <c r="K120" s="80">
        <f t="shared" si="101"/>
        <v>124.71957142431232</v>
      </c>
      <c r="L120" s="80">
        <f t="shared" si="101"/>
        <v>122.67066478455845</v>
      </c>
      <c r="M120" s="80">
        <f t="shared" si="101"/>
        <v>124.22751996345139</v>
      </c>
      <c r="N120" s="80">
        <f t="shared" si="101"/>
        <v>121.51151486181726</v>
      </c>
      <c r="O120" s="80">
        <f t="shared" si="101"/>
        <v>118.84352303636251</v>
      </c>
      <c r="P120" s="80">
        <f t="shared" si="101"/>
        <v>115.73189545813784</v>
      </c>
      <c r="Q120" s="80">
        <f t="shared" si="101"/>
        <v>112.78409165256318</v>
      </c>
      <c r="R120" s="80">
        <f t="shared" si="101"/>
        <v>111.17432205867706</v>
      </c>
      <c r="S120" s="80">
        <f t="shared" si="101"/>
        <v>99.994727754198578</v>
      </c>
      <c r="T120" s="80">
        <f>(T119/S119)*S120</f>
        <v>96.842187390913708</v>
      </c>
      <c r="U120" s="80">
        <f t="shared" si="101"/>
        <v>87.782413673178056</v>
      </c>
    </row>
    <row r="121" spans="2:21" s="74" customFormat="1" x14ac:dyDescent="0.3"/>
    <row r="122" spans="2:21" s="74" customFormat="1" x14ac:dyDescent="0.3">
      <c r="B122" s="74">
        <f t="shared" ref="B122:U122" si="102">B79*B4</f>
        <v>152238.48696138948</v>
      </c>
      <c r="C122" s="74">
        <f t="shared" si="102"/>
        <v>172838.69231427734</v>
      </c>
      <c r="D122" s="74">
        <f t="shared" si="102"/>
        <v>255942.49963896163</v>
      </c>
      <c r="E122" s="74">
        <f t="shared" si="102"/>
        <v>236275.80452950866</v>
      </c>
      <c r="F122" s="74">
        <f t="shared" si="102"/>
        <v>246411.7077727619</v>
      </c>
      <c r="G122" s="74">
        <f t="shared" si="102"/>
        <v>249806.50155144586</v>
      </c>
      <c r="H122" s="74">
        <f t="shared" si="102"/>
        <v>251303.31572101207</v>
      </c>
      <c r="I122" s="74">
        <f t="shared" si="102"/>
        <v>263096.23590181937</v>
      </c>
      <c r="J122" s="74">
        <f t="shared" si="102"/>
        <v>264995.56916316936</v>
      </c>
      <c r="K122" s="74">
        <f t="shared" si="102"/>
        <v>266329.14185722952</v>
      </c>
      <c r="L122" s="74">
        <f t="shared" si="102"/>
        <v>265658.13059251994</v>
      </c>
      <c r="M122" s="74">
        <f t="shared" si="102"/>
        <v>270190.29772573244</v>
      </c>
      <c r="N122" s="74">
        <f t="shared" si="102"/>
        <v>272120.49924558966</v>
      </c>
      <c r="O122" s="74">
        <f t="shared" si="102"/>
        <v>274666.6794813879</v>
      </c>
      <c r="P122" s="74">
        <f t="shared" si="102"/>
        <v>276340.9406147697</v>
      </c>
      <c r="Q122" s="74">
        <f t="shared" si="102"/>
        <v>278016.33442223049</v>
      </c>
      <c r="R122" s="74">
        <f t="shared" si="102"/>
        <v>281308.86639124836</v>
      </c>
      <c r="S122" s="74">
        <f t="shared" si="102"/>
        <v>267326.3376689807</v>
      </c>
      <c r="T122" s="74">
        <f t="shared" si="102"/>
        <v>271582.27062080876</v>
      </c>
      <c r="U122" s="74">
        <f t="shared" si="102"/>
        <v>257187.71817901652</v>
      </c>
    </row>
    <row r="123" spans="2:21" s="74" customFormat="1" x14ac:dyDescent="0.3">
      <c r="B123" s="74">
        <f t="shared" ref="B123:U123" si="103">B122/B78</f>
        <v>0.4472288426733807</v>
      </c>
      <c r="C123" s="74">
        <f t="shared" si="103"/>
        <v>0.49533915775163312</v>
      </c>
      <c r="D123" s="74">
        <f t="shared" si="103"/>
        <v>0.72106025203044244</v>
      </c>
      <c r="E123" s="74">
        <f t="shared" si="103"/>
        <v>0.63279912938895999</v>
      </c>
      <c r="F123" s="74">
        <f t="shared" si="103"/>
        <v>0.63530931898995235</v>
      </c>
      <c r="G123" s="74">
        <f t="shared" si="103"/>
        <v>0.60417226334125618</v>
      </c>
      <c r="H123" s="74">
        <f t="shared" si="103"/>
        <v>0.58539834916818179</v>
      </c>
      <c r="I123" s="74">
        <f t="shared" si="103"/>
        <v>0.58997992089047513</v>
      </c>
      <c r="J123" s="74">
        <f t="shared" si="103"/>
        <v>0.57054182822564847</v>
      </c>
      <c r="K123" s="74">
        <f t="shared" si="103"/>
        <v>0.55778189586815241</v>
      </c>
      <c r="L123" s="74">
        <f t="shared" si="103"/>
        <v>0.54861859441572292</v>
      </c>
      <c r="M123" s="74">
        <f t="shared" si="103"/>
        <v>0.55558129981438653</v>
      </c>
      <c r="N123" s="74">
        <f t="shared" si="103"/>
        <v>0.54343454163139837</v>
      </c>
      <c r="O123" s="74">
        <f t="shared" si="103"/>
        <v>0.53150251266779658</v>
      </c>
      <c r="P123" s="74">
        <f t="shared" si="103"/>
        <v>0.51758641666139671</v>
      </c>
      <c r="Q123" s="74">
        <f t="shared" si="103"/>
        <v>0.50440298781744308</v>
      </c>
      <c r="R123" s="74">
        <f t="shared" si="103"/>
        <v>0.49720363389299832</v>
      </c>
      <c r="S123" s="74">
        <f t="shared" si="103"/>
        <v>0.44720526366950003</v>
      </c>
      <c r="T123" s="74">
        <f t="shared" si="103"/>
        <v>0.43310619388796995</v>
      </c>
      <c r="U123" s="74">
        <f t="shared" si="103"/>
        <v>0.39258827274131369</v>
      </c>
    </row>
    <row r="124" spans="2:21" s="74" customFormat="1" x14ac:dyDescent="0.3">
      <c r="B124" s="80">
        <v>100</v>
      </c>
      <c r="C124" s="80">
        <f>C123/B123*B124</f>
        <v>110.75742673273608</v>
      </c>
      <c r="D124" s="80">
        <f t="shared" ref="D124:U124" si="104">D123/C123*C124</f>
        <v>161.22847706337353</v>
      </c>
      <c r="E124" s="80">
        <f t="shared" si="104"/>
        <v>141.49336290707544</v>
      </c>
      <c r="F124" s="80">
        <f t="shared" si="104"/>
        <v>142.05463922950295</v>
      </c>
      <c r="G124" s="80">
        <f t="shared" si="104"/>
        <v>135.09241929248603</v>
      </c>
      <c r="H124" s="80">
        <f t="shared" si="104"/>
        <v>130.89458758269504</v>
      </c>
      <c r="I124" s="80">
        <f t="shared" si="104"/>
        <v>131.91902323736039</v>
      </c>
      <c r="J124" s="80">
        <f t="shared" si="104"/>
        <v>127.57268176514398</v>
      </c>
      <c r="K124" s="80">
        <f t="shared" si="104"/>
        <v>124.71957142431231</v>
      </c>
      <c r="L124" s="80">
        <f t="shared" si="104"/>
        <v>122.6706647845584</v>
      </c>
      <c r="M124" s="80">
        <f t="shared" si="104"/>
        <v>124.22751996345136</v>
      </c>
      <c r="N124" s="80">
        <f t="shared" si="104"/>
        <v>121.51151486181726</v>
      </c>
      <c r="O124" s="80">
        <f t="shared" si="104"/>
        <v>118.84352303636248</v>
      </c>
      <c r="P124" s="80">
        <f t="shared" si="104"/>
        <v>115.73189545813783</v>
      </c>
      <c r="Q124" s="80">
        <f t="shared" si="104"/>
        <v>112.78409165256312</v>
      </c>
      <c r="R124" s="80">
        <f t="shared" si="104"/>
        <v>111.17432205867703</v>
      </c>
      <c r="S124" s="80">
        <f t="shared" si="104"/>
        <v>99.99472775419855</v>
      </c>
      <c r="T124" s="80">
        <f t="shared" si="104"/>
        <v>96.842187390913679</v>
      </c>
      <c r="U124" s="80">
        <f t="shared" si="104"/>
        <v>87.782413673178041</v>
      </c>
    </row>
  </sheetData>
  <conditionalFormatting sqref="B79:U79">
    <cfRule type="cellIs" dxfId="11" priority="7" operator="equal">
      <formula>"-"</formula>
    </cfRule>
    <cfRule type="cellIs" dxfId="10" priority="8" operator="equal">
      <formula>0</formula>
    </cfRule>
  </conditionalFormatting>
  <conditionalFormatting sqref="B8:X8">
    <cfRule type="cellIs" dxfId="9" priority="3" operator="equal">
      <formula>"-"</formula>
    </cfRule>
    <cfRule type="cellIs" dxfId="8" priority="4" operator="equal">
      <formula>0</formula>
    </cfRule>
  </conditionalFormatting>
  <conditionalFormatting sqref="V63:X63">
    <cfRule type="cellIs" dxfId="7" priority="1" operator="equal">
      <formula>"-"</formula>
    </cfRule>
    <cfRule type="cellIs" dxfId="6" priority="2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2445D-A7BF-44E5-8CB0-47D6B46BFAE7}">
  <dimension ref="A1:AM31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30.44140625" customWidth="1"/>
    <col min="28" max="34" width="9.6640625" bestFit="1" customWidth="1"/>
    <col min="35" max="35" width="9.6640625" customWidth="1"/>
    <col min="36" max="36" width="9.6640625" bestFit="1" customWidth="1"/>
    <col min="37" max="37" width="10.5546875" bestFit="1" customWidth="1"/>
  </cols>
  <sheetData>
    <row r="1" spans="1:39" s="26" customFormat="1" x14ac:dyDescent="0.3">
      <c r="A1" s="26" t="s">
        <v>140</v>
      </c>
      <c r="B1" s="26">
        <v>2000</v>
      </c>
      <c r="C1" s="26">
        <v>2001</v>
      </c>
      <c r="D1" s="26">
        <v>2002</v>
      </c>
      <c r="E1" s="26">
        <v>2003</v>
      </c>
      <c r="F1" s="26">
        <v>2004</v>
      </c>
      <c r="G1" s="26">
        <v>2005</v>
      </c>
      <c r="H1" s="26">
        <v>2006</v>
      </c>
      <c r="I1" s="26">
        <v>2007</v>
      </c>
      <c r="J1" s="26">
        <v>2008</v>
      </c>
      <c r="K1" s="26">
        <v>2009</v>
      </c>
      <c r="L1" s="26">
        <v>2010</v>
      </c>
      <c r="M1" s="26">
        <v>2011</v>
      </c>
      <c r="N1" s="26">
        <v>2012</v>
      </c>
      <c r="O1" s="26">
        <v>2013</v>
      </c>
      <c r="P1" s="26">
        <v>2014</v>
      </c>
      <c r="Q1" s="26">
        <v>2015</v>
      </c>
      <c r="R1" s="26">
        <v>2016</v>
      </c>
      <c r="S1" s="26">
        <v>2017</v>
      </c>
      <c r="T1" s="26">
        <v>2018</v>
      </c>
      <c r="U1" s="26">
        <v>2019</v>
      </c>
      <c r="V1" s="26">
        <v>2020</v>
      </c>
      <c r="W1" s="26">
        <v>2021</v>
      </c>
      <c r="X1" s="26">
        <v>2022</v>
      </c>
      <c r="Y1" s="26">
        <v>2023</v>
      </c>
      <c r="Z1" s="26">
        <v>2024</v>
      </c>
    </row>
    <row r="2" spans="1:39" x14ac:dyDescent="0.3">
      <c r="A2" s="26" t="s">
        <v>125</v>
      </c>
      <c r="AB2" s="26" t="s">
        <v>246</v>
      </c>
      <c r="AC2" s="26" t="s">
        <v>247</v>
      </c>
      <c r="AD2" s="26" t="s">
        <v>248</v>
      </c>
      <c r="AE2" s="26" t="s">
        <v>238</v>
      </c>
      <c r="AF2" s="26" t="s">
        <v>236</v>
      </c>
      <c r="AG2" s="26" t="s">
        <v>237</v>
      </c>
      <c r="AH2" s="26" t="s">
        <v>242</v>
      </c>
      <c r="AI2" s="95" t="s">
        <v>243</v>
      </c>
      <c r="AJ2" s="26" t="s">
        <v>249</v>
      </c>
      <c r="AK2" s="95" t="s">
        <v>250</v>
      </c>
      <c r="AM2" s="95" t="s">
        <v>241</v>
      </c>
    </row>
    <row r="3" spans="1:39" x14ac:dyDescent="0.3">
      <c r="A3" t="s">
        <v>128</v>
      </c>
      <c r="B3" s="49">
        <v>0.629362015697295</v>
      </c>
      <c r="C3" s="49">
        <v>0.64287330665629117</v>
      </c>
      <c r="D3" s="49">
        <v>0.64242936891491342</v>
      </c>
      <c r="E3" s="49">
        <v>0.64637248175703166</v>
      </c>
      <c r="F3" s="49">
        <v>0.62836384146696733</v>
      </c>
      <c r="G3" s="49">
        <v>0.61982132166632542</v>
      </c>
      <c r="H3" s="49">
        <v>0.61533013891243882</v>
      </c>
      <c r="I3" s="49">
        <v>0.59370583733662763</v>
      </c>
      <c r="J3" s="49">
        <v>0.59889919803557878</v>
      </c>
      <c r="K3" s="49">
        <v>0.60984259379305727</v>
      </c>
      <c r="L3" s="49">
        <v>0.57909718427133894</v>
      </c>
      <c r="M3" s="49">
        <v>0.57269890785393496</v>
      </c>
      <c r="N3" s="49">
        <v>0.57699805380424085</v>
      </c>
      <c r="O3" s="49">
        <v>0.57450181003287759</v>
      </c>
      <c r="P3" s="49">
        <v>0.56527133723146283</v>
      </c>
      <c r="Q3" s="49">
        <v>0.66710816759372882</v>
      </c>
      <c r="R3" s="49">
        <v>0.66518781017929474</v>
      </c>
      <c r="S3" s="49">
        <v>0.63313136103259249</v>
      </c>
      <c r="T3" s="49">
        <v>0.622797160181492</v>
      </c>
      <c r="U3" s="49">
        <v>0.6202807189549161</v>
      </c>
      <c r="V3" s="49">
        <v>0.40059675705291703</v>
      </c>
      <c r="W3" s="49">
        <v>0.43537366778030967</v>
      </c>
      <c r="X3" s="49">
        <v>0.56218022950720548</v>
      </c>
      <c r="Y3" s="49">
        <v>0.54663249362618105</v>
      </c>
      <c r="Z3" s="49">
        <v>0.54675841218936583</v>
      </c>
      <c r="AB3" s="47">
        <f t="shared" ref="AB3:AB6" si="0">I3-B3</f>
        <v>-3.5656178360667368E-2</v>
      </c>
      <c r="AC3" s="47">
        <f t="shared" ref="AC3:AC6" si="1">K3-I3</f>
        <v>1.6136756456429646E-2</v>
      </c>
      <c r="AD3" s="47">
        <f t="shared" ref="AD3:AD6" si="2">P3-K3</f>
        <v>-4.4571256561594441E-2</v>
      </c>
      <c r="AE3" s="47">
        <f t="shared" ref="AE3:AE6" si="3">Q3-P3</f>
        <v>0.10183683036226598</v>
      </c>
      <c r="AF3" s="47">
        <f t="shared" ref="AF3:AF6" si="4">U3-Q3</f>
        <v>-4.6827448638812719E-2</v>
      </c>
      <c r="AG3" s="47">
        <f t="shared" ref="AG3:AG6" si="5">V3-U3</f>
        <v>-0.21968396190199907</v>
      </c>
      <c r="AH3" s="47">
        <f t="shared" ref="AH3:AH6" si="6">X3-V3</f>
        <v>0.16158347245428845</v>
      </c>
      <c r="AI3" s="47">
        <f t="shared" ref="AI3:AI6" si="7">X3-U3</f>
        <v>-5.8100489447710624E-2</v>
      </c>
      <c r="AJ3" s="47">
        <f t="shared" ref="AJ3:AJ6" si="8">Z3-X3</f>
        <v>-1.5421817317839648E-2</v>
      </c>
      <c r="AK3" s="47">
        <f>Z3-B3</f>
        <v>-8.2603603507929169E-2</v>
      </c>
      <c r="AM3" s="103">
        <f>Y3-E3</f>
        <v>-9.973998813085061E-2</v>
      </c>
    </row>
    <row r="4" spans="1:39" x14ac:dyDescent="0.3">
      <c r="A4" t="s">
        <v>141</v>
      </c>
      <c r="B4" s="50">
        <v>0.28796942435085987</v>
      </c>
      <c r="C4" s="50">
        <v>0.29270118623942093</v>
      </c>
      <c r="D4" s="50">
        <v>0.28555547174809132</v>
      </c>
      <c r="E4" s="50">
        <v>0.28559351694229468</v>
      </c>
      <c r="F4" s="50">
        <v>0.27060878744529376</v>
      </c>
      <c r="G4" s="50">
        <v>0.2585752499248038</v>
      </c>
      <c r="H4" s="50">
        <v>0.24806478496135773</v>
      </c>
      <c r="I4" s="50">
        <v>0.23373936642851575</v>
      </c>
      <c r="J4" s="50">
        <v>0.23036970239950169</v>
      </c>
      <c r="K4" s="50">
        <v>0.22693300161698829</v>
      </c>
      <c r="L4" s="50">
        <v>0.24871675987768507</v>
      </c>
      <c r="M4" s="50">
        <v>0.22718219617755939</v>
      </c>
      <c r="N4" s="50">
        <v>0.27063721229183407</v>
      </c>
      <c r="O4" s="50">
        <v>0.27861568800396641</v>
      </c>
      <c r="P4" s="50">
        <v>0.28622558901872008</v>
      </c>
      <c r="Q4" s="50">
        <v>0.2200802473464864</v>
      </c>
      <c r="R4" s="50">
        <v>0.21845443846552687</v>
      </c>
      <c r="S4" s="50">
        <v>5.3371633518446711E-2</v>
      </c>
      <c r="T4" s="50">
        <v>5.1252941549545107E-2</v>
      </c>
      <c r="U4" s="50">
        <v>5.1150072465176576E-2</v>
      </c>
      <c r="V4" s="50">
        <v>0.36838677922250035</v>
      </c>
      <c r="W4" s="50">
        <v>0.29693014728556455</v>
      </c>
      <c r="X4" s="50">
        <v>9.9814236967531181E-2</v>
      </c>
      <c r="Y4" s="50">
        <v>0.1220476075944808</v>
      </c>
      <c r="Z4" s="50">
        <v>9.0849797898403806E-2</v>
      </c>
      <c r="AB4" s="47">
        <f t="shared" si="0"/>
        <v>-5.4230057922344116E-2</v>
      </c>
      <c r="AC4" s="47">
        <f t="shared" si="1"/>
        <v>-6.8063648115274655E-3</v>
      </c>
      <c r="AD4" s="47">
        <f t="shared" si="2"/>
        <v>5.9292587401731794E-2</v>
      </c>
      <c r="AE4" s="47">
        <f t="shared" si="3"/>
        <v>-6.6145341672233682E-2</v>
      </c>
      <c r="AF4" s="47">
        <f t="shared" si="4"/>
        <v>-0.16893017488130982</v>
      </c>
      <c r="AG4" s="47">
        <f t="shared" si="5"/>
        <v>0.31723670675732379</v>
      </c>
      <c r="AH4" s="47">
        <f t="shared" si="6"/>
        <v>-0.26857254225496918</v>
      </c>
      <c r="AI4" s="47">
        <f t="shared" si="7"/>
        <v>4.8664164502354605E-2</v>
      </c>
      <c r="AJ4" s="47">
        <f t="shared" si="8"/>
        <v>-8.9644390691273751E-3</v>
      </c>
      <c r="AK4" s="47">
        <f t="shared" ref="AK4:AK6" si="9">Z4-B4</f>
        <v>-0.19711962645245606</v>
      </c>
      <c r="AM4" s="103">
        <f>Y4-E4</f>
        <v>-0.16354590934781388</v>
      </c>
    </row>
    <row r="5" spans="1:39" x14ac:dyDescent="0.3">
      <c r="A5" t="s">
        <v>142</v>
      </c>
      <c r="B5" s="50">
        <v>5.3677653757009662E-2</v>
      </c>
      <c r="C5" s="50">
        <v>3.408238118014114E-2</v>
      </c>
      <c r="D5" s="50">
        <v>4.0723967532536244E-2</v>
      </c>
      <c r="E5" s="50">
        <v>3.7876166406325115E-2</v>
      </c>
      <c r="F5" s="50">
        <v>6.8990635169124445E-2</v>
      </c>
      <c r="G5" s="50">
        <v>8.9062625994866126E-2</v>
      </c>
      <c r="H5" s="50">
        <v>0.10354956645309173</v>
      </c>
      <c r="I5" s="50">
        <v>0.13825126291314258</v>
      </c>
      <c r="J5" s="50">
        <v>0.14839832592687011</v>
      </c>
      <c r="K5" s="50">
        <v>0.15164586491760604</v>
      </c>
      <c r="L5" s="50">
        <v>0.15600211863553862</v>
      </c>
      <c r="M5" s="50">
        <v>0.17736524421156313</v>
      </c>
      <c r="N5" s="50">
        <v>0.14427609986057591</v>
      </c>
      <c r="O5" s="50">
        <v>0.14128956452345631</v>
      </c>
      <c r="P5" s="50">
        <v>0.14348021781056136</v>
      </c>
      <c r="Q5" s="50">
        <v>0.10721072668209407</v>
      </c>
      <c r="R5" s="50">
        <v>0.10706230097197128</v>
      </c>
      <c r="S5" s="50">
        <v>0.30657670485317728</v>
      </c>
      <c r="T5" s="50">
        <v>0.31987655084619177</v>
      </c>
      <c r="U5" s="50">
        <v>0.32180123913579106</v>
      </c>
      <c r="V5" s="50">
        <v>0.22833432681743013</v>
      </c>
      <c r="W5" s="50">
        <v>0.26424139120078072</v>
      </c>
      <c r="X5" s="50">
        <v>0.33642156897104658</v>
      </c>
      <c r="Y5" s="50">
        <v>0.32597616772348481</v>
      </c>
      <c r="Z5" s="50">
        <v>0.35469796341878029</v>
      </c>
      <c r="AB5" s="47">
        <f t="shared" si="0"/>
        <v>8.4573609156132906E-2</v>
      </c>
      <c r="AC5" s="47">
        <f t="shared" si="1"/>
        <v>1.3394602004463463E-2</v>
      </c>
      <c r="AD5" s="47">
        <f t="shared" si="2"/>
        <v>-8.1656471070446768E-3</v>
      </c>
      <c r="AE5" s="47">
        <f t="shared" si="3"/>
        <v>-3.6269491128467293E-2</v>
      </c>
      <c r="AF5" s="47">
        <f t="shared" si="4"/>
        <v>0.21459051245369698</v>
      </c>
      <c r="AG5" s="47">
        <f t="shared" si="5"/>
        <v>-9.3466912318360934E-2</v>
      </c>
      <c r="AH5" s="47">
        <f t="shared" si="6"/>
        <v>0.10808724215361645</v>
      </c>
      <c r="AI5" s="47">
        <f t="shared" si="7"/>
        <v>1.4620329835255519E-2</v>
      </c>
      <c r="AJ5" s="47">
        <f t="shared" si="8"/>
        <v>1.8276394447733713E-2</v>
      </c>
      <c r="AK5" s="47">
        <f t="shared" si="9"/>
        <v>0.30102030966177062</v>
      </c>
      <c r="AM5" s="103">
        <f t="shared" ref="AM5:AM7" si="10">Y5-E5</f>
        <v>0.28810000131715968</v>
      </c>
    </row>
    <row r="6" spans="1:39" x14ac:dyDescent="0.3">
      <c r="A6" t="s">
        <v>143</v>
      </c>
      <c r="B6" s="50">
        <v>2.8990906194835502E-2</v>
      </c>
      <c r="C6" s="50">
        <v>3.034312592414682E-2</v>
      </c>
      <c r="D6" s="50">
        <v>3.1291191804459294E-2</v>
      </c>
      <c r="E6" s="50">
        <v>3.0157834894348545E-2</v>
      </c>
      <c r="F6" s="50">
        <v>3.2036735918614459E-2</v>
      </c>
      <c r="G6" s="50">
        <v>3.2540802414004678E-2</v>
      </c>
      <c r="H6" s="50">
        <v>3.3055509673111709E-2</v>
      </c>
      <c r="I6" s="50">
        <v>3.4303533321714146E-2</v>
      </c>
      <c r="J6" s="50">
        <v>2.233277363804927E-2</v>
      </c>
      <c r="K6" s="50">
        <v>1.1578539672348466E-2</v>
      </c>
      <c r="L6" s="50">
        <v>1.6183937215437191E-2</v>
      </c>
      <c r="M6" s="50">
        <v>2.2753651756942581E-2</v>
      </c>
      <c r="N6" s="50">
        <v>8.0886340433491237E-3</v>
      </c>
      <c r="O6" s="50">
        <v>5.5929374396995642E-3</v>
      </c>
      <c r="P6" s="50">
        <v>5.0228559392557189E-3</v>
      </c>
      <c r="Q6" s="50">
        <v>5.6008583776906203E-3</v>
      </c>
      <c r="R6" s="50">
        <v>9.2954503832073272E-3</v>
      </c>
      <c r="S6" s="50">
        <v>6.9203005957833236E-3</v>
      </c>
      <c r="T6" s="50">
        <v>6.0733474227712136E-3</v>
      </c>
      <c r="U6" s="50">
        <v>6.767969444116311E-3</v>
      </c>
      <c r="V6" s="50">
        <v>2.6821369071525279E-3</v>
      </c>
      <c r="W6" s="50">
        <v>3.4547937333452715E-3</v>
      </c>
      <c r="X6" s="50">
        <v>1.5839645542167202E-3</v>
      </c>
      <c r="Y6" s="50">
        <v>5.3437310558533428E-3</v>
      </c>
      <c r="Z6" s="50">
        <v>7.6938264934501227E-3</v>
      </c>
      <c r="AB6" s="96">
        <f t="shared" si="0"/>
        <v>5.3126271268786433E-3</v>
      </c>
      <c r="AC6" s="96">
        <f t="shared" si="1"/>
        <v>-2.2724993649365678E-2</v>
      </c>
      <c r="AD6" s="96">
        <f t="shared" si="2"/>
        <v>-6.5556837330927467E-3</v>
      </c>
      <c r="AE6" s="96">
        <f t="shared" si="3"/>
        <v>5.7800243843490143E-4</v>
      </c>
      <c r="AF6" s="96">
        <f t="shared" si="4"/>
        <v>1.1671110664256907E-3</v>
      </c>
      <c r="AG6" s="96">
        <f t="shared" si="5"/>
        <v>-4.0858325369637835E-3</v>
      </c>
      <c r="AH6" s="96">
        <f t="shared" si="6"/>
        <v>-1.0981723529358077E-3</v>
      </c>
      <c r="AI6" s="96">
        <f t="shared" si="7"/>
        <v>-5.1840048898995905E-3</v>
      </c>
      <c r="AJ6" s="96">
        <f t="shared" si="8"/>
        <v>6.1098619392334023E-3</v>
      </c>
      <c r="AK6" s="96">
        <f t="shared" si="9"/>
        <v>-2.129707970138538E-2</v>
      </c>
      <c r="AM6" s="103">
        <f t="shared" si="10"/>
        <v>-2.4814103838495201E-2</v>
      </c>
    </row>
    <row r="7" spans="1:39" x14ac:dyDescent="0.3">
      <c r="A7" s="45" t="s">
        <v>145</v>
      </c>
      <c r="B7" s="50">
        <f>B4+B5</f>
        <v>0.34164707810786954</v>
      </c>
      <c r="C7" s="50">
        <f t="shared" ref="C7:Z7" si="11">C4+C5</f>
        <v>0.32678356741956205</v>
      </c>
      <c r="D7" s="50">
        <f t="shared" si="11"/>
        <v>0.32627943928062758</v>
      </c>
      <c r="E7" s="50">
        <f t="shared" si="11"/>
        <v>0.32346968334861981</v>
      </c>
      <c r="F7" s="50">
        <f t="shared" si="11"/>
        <v>0.33959942261441822</v>
      </c>
      <c r="G7" s="50">
        <f t="shared" si="11"/>
        <v>0.34763787591966994</v>
      </c>
      <c r="H7" s="50">
        <f t="shared" si="11"/>
        <v>0.35161435141444947</v>
      </c>
      <c r="I7" s="50">
        <f t="shared" si="11"/>
        <v>0.37199062934165833</v>
      </c>
      <c r="J7" s="50">
        <f t="shared" si="11"/>
        <v>0.3787680283263718</v>
      </c>
      <c r="K7" s="50">
        <f t="shared" si="11"/>
        <v>0.37857886653459433</v>
      </c>
      <c r="L7" s="50">
        <f t="shared" si="11"/>
        <v>0.40471887851322369</v>
      </c>
      <c r="M7" s="50">
        <f t="shared" si="11"/>
        <v>0.40454744038912249</v>
      </c>
      <c r="N7" s="50">
        <f t="shared" si="11"/>
        <v>0.41491331215241001</v>
      </c>
      <c r="O7" s="50">
        <f t="shared" si="11"/>
        <v>0.41990525252742272</v>
      </c>
      <c r="P7" s="50">
        <f t="shared" si="11"/>
        <v>0.42970580682928144</v>
      </c>
      <c r="Q7" s="50">
        <f t="shared" si="11"/>
        <v>0.32729097402858048</v>
      </c>
      <c r="R7" s="50">
        <f t="shared" si="11"/>
        <v>0.32551673943749815</v>
      </c>
      <c r="S7" s="50">
        <f t="shared" si="11"/>
        <v>0.35994833837162399</v>
      </c>
      <c r="T7" s="50">
        <f t="shared" si="11"/>
        <v>0.37112949239573689</v>
      </c>
      <c r="U7" s="50">
        <f t="shared" si="11"/>
        <v>0.37295131160096762</v>
      </c>
      <c r="V7" s="50">
        <f t="shared" si="11"/>
        <v>0.59672110603993045</v>
      </c>
      <c r="W7" s="50">
        <f t="shared" si="11"/>
        <v>0.56117153848634527</v>
      </c>
      <c r="X7" s="50">
        <f t="shared" si="11"/>
        <v>0.43623580593857775</v>
      </c>
      <c r="Y7" s="50">
        <f t="shared" si="11"/>
        <v>0.44802377531796561</v>
      </c>
      <c r="Z7" s="50">
        <f t="shared" si="11"/>
        <v>0.4455477613171841</v>
      </c>
      <c r="AB7" s="47">
        <f>I7-B7</f>
        <v>3.034355123378879E-2</v>
      </c>
      <c r="AC7" s="47">
        <f>K7-I7</f>
        <v>6.5882371929359973E-3</v>
      </c>
      <c r="AD7" s="47">
        <f>P7-K7</f>
        <v>5.1126940294687118E-2</v>
      </c>
      <c r="AE7" s="94">
        <f>Q7-P7</f>
        <v>-0.10241483280070096</v>
      </c>
      <c r="AF7" s="47">
        <f>U7-Q7</f>
        <v>4.5660337572387133E-2</v>
      </c>
      <c r="AG7" s="47">
        <f>V7-U7</f>
        <v>0.22376979443896283</v>
      </c>
      <c r="AH7" s="94">
        <f>X7-V7</f>
        <v>-0.1604853001013527</v>
      </c>
      <c r="AI7" s="47">
        <f>X7-U7</f>
        <v>6.3284494337610131E-2</v>
      </c>
      <c r="AJ7" s="47">
        <f>Z7-X7</f>
        <v>9.3119553786063514E-3</v>
      </c>
      <c r="AK7" s="47">
        <f>Z7-B7</f>
        <v>0.10390068320931456</v>
      </c>
      <c r="AM7" s="103">
        <f t="shared" si="10"/>
        <v>0.1245540919693458</v>
      </c>
    </row>
    <row r="8" spans="1:39" x14ac:dyDescent="0.3">
      <c r="A8" s="45" t="s">
        <v>251</v>
      </c>
      <c r="B8" s="50">
        <f>B4/B$7</f>
        <v>0.84288566419390887</v>
      </c>
      <c r="C8" s="50">
        <f t="shared" ref="C8:Z8" si="12">C4/C$7</f>
        <v>0.89570350354740369</v>
      </c>
      <c r="D8" s="50">
        <f t="shared" si="12"/>
        <v>0.8751868410025363</v>
      </c>
      <c r="E8" s="50">
        <f t="shared" si="12"/>
        <v>0.88290659571486318</v>
      </c>
      <c r="F8" s="50">
        <f t="shared" si="12"/>
        <v>0.79684701864921437</v>
      </c>
      <c r="G8" s="50">
        <f t="shared" si="12"/>
        <v>0.74380632214124387</v>
      </c>
      <c r="H8" s="50">
        <f t="shared" si="12"/>
        <v>0.70550244597087741</v>
      </c>
      <c r="I8" s="50">
        <f t="shared" si="12"/>
        <v>0.62834745822007143</v>
      </c>
      <c r="J8" s="50">
        <f t="shared" si="12"/>
        <v>0.60820788760185374</v>
      </c>
      <c r="K8" s="50">
        <f t="shared" si="12"/>
        <v>0.59943388730139613</v>
      </c>
      <c r="L8" s="50">
        <f t="shared" si="12"/>
        <v>0.61454202678009884</v>
      </c>
      <c r="M8" s="50">
        <f t="shared" si="12"/>
        <v>0.56157121142341027</v>
      </c>
      <c r="N8" s="50">
        <f t="shared" si="12"/>
        <v>0.65227411212205444</v>
      </c>
      <c r="O8" s="50">
        <f t="shared" si="12"/>
        <v>0.66352036876645371</v>
      </c>
      <c r="P8" s="50">
        <f t="shared" si="12"/>
        <v>0.66609662813431592</v>
      </c>
      <c r="Q8" s="50">
        <f t="shared" si="12"/>
        <v>0.67242993180517108</v>
      </c>
      <c r="R8" s="50">
        <f t="shared" si="12"/>
        <v>0.6711004750263293</v>
      </c>
      <c r="S8" s="50">
        <f t="shared" si="12"/>
        <v>0.14827581580149943</v>
      </c>
      <c r="T8" s="50">
        <f t="shared" si="12"/>
        <v>0.13809988858253788</v>
      </c>
      <c r="U8" s="50">
        <f t="shared" si="12"/>
        <v>0.13714946394907349</v>
      </c>
      <c r="V8" s="50">
        <f t="shared" si="12"/>
        <v>0.6173516832130439</v>
      </c>
      <c r="W8" s="50">
        <f t="shared" si="12"/>
        <v>0.52912545794192944</v>
      </c>
      <c r="X8" s="50">
        <f t="shared" si="12"/>
        <v>0.22880798781011819</v>
      </c>
      <c r="Y8" s="50">
        <f t="shared" si="12"/>
        <v>0.27241323857838295</v>
      </c>
      <c r="Z8" s="50">
        <f t="shared" si="12"/>
        <v>0.20390585653448748</v>
      </c>
      <c r="AB8" s="47"/>
      <c r="AC8" s="47"/>
      <c r="AD8" s="47"/>
      <c r="AE8" s="47"/>
      <c r="AF8" s="47"/>
      <c r="AG8" s="47"/>
      <c r="AH8" s="47"/>
      <c r="AI8" s="47"/>
      <c r="AJ8" s="47"/>
      <c r="AK8" s="47"/>
    </row>
    <row r="9" spans="1:39" x14ac:dyDescent="0.3">
      <c r="A9" s="45" t="s">
        <v>252</v>
      </c>
      <c r="B9" s="50">
        <f>B5/B$7</f>
        <v>0.15711433580609113</v>
      </c>
      <c r="C9" s="50">
        <f t="shared" ref="C9:Z9" si="13">C5/C$7</f>
        <v>0.10429649645259637</v>
      </c>
      <c r="D9" s="50">
        <f t="shared" si="13"/>
        <v>0.12481315899746361</v>
      </c>
      <c r="E9" s="50">
        <f t="shared" si="13"/>
        <v>0.11709340428513677</v>
      </c>
      <c r="F9" s="50">
        <f t="shared" si="13"/>
        <v>0.20315298135078555</v>
      </c>
      <c r="G9" s="50">
        <f t="shared" si="13"/>
        <v>0.25619367785875607</v>
      </c>
      <c r="H9" s="50">
        <f t="shared" si="13"/>
        <v>0.29449755402912259</v>
      </c>
      <c r="I9" s="50">
        <f t="shared" si="13"/>
        <v>0.37165254177992851</v>
      </c>
      <c r="J9" s="50">
        <f t="shared" si="13"/>
        <v>0.39179211239814626</v>
      </c>
      <c r="K9" s="50">
        <f t="shared" si="13"/>
        <v>0.40056611269860393</v>
      </c>
      <c r="L9" s="50">
        <f t="shared" si="13"/>
        <v>0.38545797321990116</v>
      </c>
      <c r="M9" s="50">
        <f t="shared" si="13"/>
        <v>0.43842878857658973</v>
      </c>
      <c r="N9" s="50">
        <f t="shared" si="13"/>
        <v>0.34772588787794545</v>
      </c>
      <c r="O9" s="50">
        <f t="shared" si="13"/>
        <v>0.33647963123354624</v>
      </c>
      <c r="P9" s="50">
        <f t="shared" si="13"/>
        <v>0.33390337186568403</v>
      </c>
      <c r="Q9" s="50">
        <f t="shared" si="13"/>
        <v>0.32757006819482887</v>
      </c>
      <c r="R9" s="50">
        <f t="shared" si="13"/>
        <v>0.3288995249736707</v>
      </c>
      <c r="S9" s="50">
        <f t="shared" si="13"/>
        <v>0.8517241841985006</v>
      </c>
      <c r="T9" s="50">
        <f t="shared" si="13"/>
        <v>0.86190011141746203</v>
      </c>
      <c r="U9" s="50">
        <f t="shared" si="13"/>
        <v>0.86285053605092654</v>
      </c>
      <c r="V9" s="50">
        <f t="shared" si="13"/>
        <v>0.3826483167869561</v>
      </c>
      <c r="W9" s="50">
        <f t="shared" si="13"/>
        <v>0.4708745420580705</v>
      </c>
      <c r="X9" s="50">
        <f t="shared" si="13"/>
        <v>0.77119201218988187</v>
      </c>
      <c r="Y9" s="50">
        <f t="shared" si="13"/>
        <v>0.72758676142161705</v>
      </c>
      <c r="Z9" s="50">
        <f t="shared" si="13"/>
        <v>0.79609414346551255</v>
      </c>
      <c r="AB9" s="47"/>
      <c r="AC9" s="47"/>
      <c r="AD9" s="47"/>
      <c r="AE9" s="47"/>
      <c r="AF9" s="47"/>
      <c r="AG9" s="47"/>
      <c r="AH9" s="47"/>
      <c r="AI9" s="47"/>
      <c r="AJ9" s="47"/>
      <c r="AK9" s="47"/>
    </row>
    <row r="10" spans="1:39" x14ac:dyDescent="0.3">
      <c r="A10" s="45" t="s">
        <v>131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spans="1:39" x14ac:dyDescent="0.3">
      <c r="A11" t="s">
        <v>128</v>
      </c>
      <c r="B11" s="51">
        <v>100</v>
      </c>
      <c r="C11" s="52">
        <f>C3/B3*B11</f>
        <v>102.14682338971895</v>
      </c>
      <c r="D11" s="52">
        <f t="shared" ref="D11:Z11" si="14">D3/C3*C11</f>
        <v>102.0762856498641</v>
      </c>
      <c r="E11" s="52">
        <f t="shared" si="14"/>
        <v>102.70281104284471</v>
      </c>
      <c r="F11" s="52">
        <f t="shared" si="14"/>
        <v>99.841399034985955</v>
      </c>
      <c r="G11" s="52">
        <f t="shared" si="14"/>
        <v>98.484068978900936</v>
      </c>
      <c r="H11" s="52">
        <f t="shared" si="14"/>
        <v>97.770460174767649</v>
      </c>
      <c r="I11" s="52">
        <f t="shared" si="14"/>
        <v>94.334551899964509</v>
      </c>
      <c r="J11" s="52">
        <f t="shared" si="14"/>
        <v>95.159730504554616</v>
      </c>
      <c r="K11" s="52">
        <f t="shared" si="14"/>
        <v>96.898538294750509</v>
      </c>
      <c r="L11" s="52">
        <f t="shared" si="14"/>
        <v>92.013367478133262</v>
      </c>
      <c r="M11" s="52">
        <f t="shared" si="14"/>
        <v>90.996738533611548</v>
      </c>
      <c r="N11" s="52">
        <f t="shared" si="14"/>
        <v>91.679834405792946</v>
      </c>
      <c r="O11" s="52">
        <f t="shared" si="14"/>
        <v>91.283203578208358</v>
      </c>
      <c r="P11" s="52">
        <f t="shared" si="14"/>
        <v>89.816563938193241</v>
      </c>
      <c r="Q11" s="52">
        <f t="shared" si="14"/>
        <v>105.99752621781811</v>
      </c>
      <c r="R11" s="52">
        <f t="shared" si="14"/>
        <v>105.69239858594054</v>
      </c>
      <c r="S11" s="52">
        <f t="shared" si="14"/>
        <v>100.5989152890203</v>
      </c>
      <c r="T11" s="52">
        <f t="shared" si="14"/>
        <v>98.956903125376968</v>
      </c>
      <c r="U11" s="52">
        <f t="shared" si="14"/>
        <v>98.557063102653672</v>
      </c>
      <c r="V11" s="52">
        <f t="shared" si="14"/>
        <v>63.65124476237736</v>
      </c>
      <c r="W11" s="52">
        <f t="shared" si="14"/>
        <v>69.176985093061589</v>
      </c>
      <c r="X11" s="52">
        <f t="shared" si="14"/>
        <v>89.325414544496127</v>
      </c>
      <c r="Y11" s="52">
        <f t="shared" si="14"/>
        <v>86.855018255359028</v>
      </c>
      <c r="Z11" s="52">
        <f t="shared" si="14"/>
        <v>86.875025589777721</v>
      </c>
      <c r="AB11" s="47">
        <f t="shared" ref="AB11:AB14" si="15">I11-B11</f>
        <v>-5.6654481000354906</v>
      </c>
      <c r="AC11" s="47">
        <f t="shared" ref="AC11:AC14" si="16">K11-I11</f>
        <v>2.5639863947859993</v>
      </c>
      <c r="AD11" s="47">
        <f t="shared" ref="AD11:AD14" si="17">P11-K11</f>
        <v>-7.0819743565572679</v>
      </c>
      <c r="AE11" s="47">
        <f t="shared" ref="AE11:AE14" si="18">Q11-P11</f>
        <v>16.180962279624865</v>
      </c>
      <c r="AF11" s="47">
        <f t="shared" ref="AF11:AF14" si="19">U11-Q11</f>
        <v>-7.4404631151644338</v>
      </c>
      <c r="AG11" s="47">
        <f t="shared" ref="AG11:AG14" si="20">V11-U11</f>
        <v>-34.905818340276312</v>
      </c>
      <c r="AH11" s="47">
        <f t="shared" ref="AH11:AH14" si="21">X11-V11</f>
        <v>25.674169782118767</v>
      </c>
      <c r="AI11" s="47">
        <f t="shared" ref="AI11:AI14" si="22">X11-U11</f>
        <v>-9.2316485581575449</v>
      </c>
      <c r="AJ11" s="47">
        <f t="shared" ref="AJ11:AJ14" si="23">Z11-X11</f>
        <v>-2.4503889547184059</v>
      </c>
      <c r="AK11" s="47">
        <f t="shared" ref="AK11:AK14" si="24">Z11-B11</f>
        <v>-13.124974410222279</v>
      </c>
      <c r="AM11" s="104">
        <f>Y11-E11</f>
        <v>-15.847792787485687</v>
      </c>
    </row>
    <row r="12" spans="1:39" x14ac:dyDescent="0.3">
      <c r="A12" t="s">
        <v>141</v>
      </c>
      <c r="B12" s="51">
        <v>100</v>
      </c>
      <c r="C12" s="52">
        <f t="shared" ref="C12:Z12" si="25">C4/B4*B12</f>
        <v>101.64314732344496</v>
      </c>
      <c r="D12" s="52">
        <f t="shared" si="25"/>
        <v>99.161733017937536</v>
      </c>
      <c r="E12" s="52">
        <f t="shared" si="25"/>
        <v>99.17494455742272</v>
      </c>
      <c r="F12" s="52">
        <f t="shared" si="25"/>
        <v>93.971361041297897</v>
      </c>
      <c r="G12" s="52">
        <f t="shared" si="25"/>
        <v>89.792605762810965</v>
      </c>
      <c r="H12" s="52">
        <f t="shared" si="25"/>
        <v>86.142751273175918</v>
      </c>
      <c r="I12" s="52">
        <f t="shared" si="25"/>
        <v>81.168119481924364</v>
      </c>
      <c r="J12" s="52">
        <f t="shared" si="25"/>
        <v>79.997973020504048</v>
      </c>
      <c r="K12" s="52">
        <f t="shared" si="25"/>
        <v>78.804547437124697</v>
      </c>
      <c r="L12" s="52">
        <f t="shared" si="25"/>
        <v>86.369155488761322</v>
      </c>
      <c r="M12" s="52">
        <f t="shared" si="25"/>
        <v>78.891082513247042</v>
      </c>
      <c r="N12" s="52">
        <f t="shared" si="25"/>
        <v>93.981231827616398</v>
      </c>
      <c r="O12" s="52">
        <f t="shared" si="25"/>
        <v>96.751830036130173</v>
      </c>
      <c r="P12" s="52">
        <f t="shared" si="25"/>
        <v>99.394437330952485</v>
      </c>
      <c r="Q12" s="52">
        <f t="shared" si="25"/>
        <v>76.424866231055901</v>
      </c>
      <c r="R12" s="52">
        <f t="shared" si="25"/>
        <v>75.860289319939582</v>
      </c>
      <c r="S12" s="52">
        <f t="shared" si="25"/>
        <v>18.53378484148341</v>
      </c>
      <c r="T12" s="52">
        <f t="shared" si="25"/>
        <v>17.798049798196242</v>
      </c>
      <c r="U12" s="52">
        <f t="shared" si="25"/>
        <v>17.762327573657849</v>
      </c>
      <c r="V12" s="52">
        <f t="shared" si="25"/>
        <v>127.92565740370424</v>
      </c>
      <c r="W12" s="52">
        <f t="shared" si="25"/>
        <v>103.11169248433366</v>
      </c>
      <c r="X12" s="52">
        <f t="shared" si="25"/>
        <v>34.66140101246242</v>
      </c>
      <c r="Y12" s="52">
        <f t="shared" si="25"/>
        <v>42.382141044869691</v>
      </c>
      <c r="Z12" s="52">
        <f t="shared" si="25"/>
        <v>31.548418066673992</v>
      </c>
      <c r="AB12" s="47">
        <f t="shared" si="15"/>
        <v>-18.831880518075636</v>
      </c>
      <c r="AC12" s="47">
        <f t="shared" si="16"/>
        <v>-2.3635720447996675</v>
      </c>
      <c r="AD12" s="47">
        <f t="shared" si="17"/>
        <v>20.589889893827788</v>
      </c>
      <c r="AE12" s="47">
        <f t="shared" si="18"/>
        <v>-22.969571099896584</v>
      </c>
      <c r="AF12" s="47">
        <f t="shared" si="19"/>
        <v>-58.662538657398052</v>
      </c>
      <c r="AG12" s="47">
        <f t="shared" si="20"/>
        <v>110.16332983004639</v>
      </c>
      <c r="AH12" s="47">
        <f t="shared" si="21"/>
        <v>-93.264256391241815</v>
      </c>
      <c r="AI12" s="47">
        <f t="shared" si="22"/>
        <v>16.899073438804571</v>
      </c>
      <c r="AJ12" s="47">
        <f t="shared" si="23"/>
        <v>-3.1129829457884277</v>
      </c>
      <c r="AK12" s="47">
        <f t="shared" si="24"/>
        <v>-68.451581933326011</v>
      </c>
      <c r="AM12" s="104">
        <f>Y12-E12</f>
        <v>-56.792803512553029</v>
      </c>
    </row>
    <row r="13" spans="1:39" x14ac:dyDescent="0.3">
      <c r="A13" t="s">
        <v>142</v>
      </c>
      <c r="B13" s="51">
        <v>100</v>
      </c>
      <c r="C13" s="52">
        <f t="shared" ref="C13:Z13" si="26">C5/B5*B13</f>
        <v>63.494543435945893</v>
      </c>
      <c r="D13" s="52">
        <f t="shared" si="26"/>
        <v>75.867637055984744</v>
      </c>
      <c r="E13" s="52">
        <f t="shared" si="26"/>
        <v>70.56226149113111</v>
      </c>
      <c r="F13" s="52">
        <f t="shared" si="26"/>
        <v>128.52766531382736</v>
      </c>
      <c r="G13" s="52">
        <f t="shared" si="26"/>
        <v>165.92123492960164</v>
      </c>
      <c r="H13" s="52">
        <f t="shared" si="26"/>
        <v>192.91000855187229</v>
      </c>
      <c r="I13" s="52">
        <f t="shared" si="26"/>
        <v>257.55831940603144</v>
      </c>
      <c r="J13" s="52">
        <f t="shared" si="26"/>
        <v>276.4620201148249</v>
      </c>
      <c r="K13" s="52">
        <f t="shared" si="26"/>
        <v>282.51209638201243</v>
      </c>
      <c r="L13" s="52">
        <f t="shared" si="26"/>
        <v>290.627677844743</v>
      </c>
      <c r="M13" s="52">
        <f t="shared" si="26"/>
        <v>330.42659616694095</v>
      </c>
      <c r="N13" s="52">
        <f t="shared" si="26"/>
        <v>268.78242576266695</v>
      </c>
      <c r="O13" s="52">
        <f t="shared" si="26"/>
        <v>263.21859215950838</v>
      </c>
      <c r="P13" s="52">
        <f t="shared" si="26"/>
        <v>267.29971928369639</v>
      </c>
      <c r="Q13" s="52">
        <f t="shared" si="26"/>
        <v>199.73064986674012</v>
      </c>
      <c r="R13" s="52">
        <f t="shared" si="26"/>
        <v>199.4541368306177</v>
      </c>
      <c r="S13" s="52">
        <f t="shared" si="26"/>
        <v>571.14401132546129</v>
      </c>
      <c r="T13" s="52">
        <f t="shared" si="26"/>
        <v>595.92126044521763</v>
      </c>
      <c r="U13" s="52">
        <f t="shared" si="26"/>
        <v>599.50690205748344</v>
      </c>
      <c r="V13" s="52">
        <f t="shared" si="26"/>
        <v>425.38060223545511</v>
      </c>
      <c r="W13" s="52">
        <f t="shared" si="26"/>
        <v>492.27448054447405</v>
      </c>
      <c r="X13" s="52">
        <f t="shared" si="26"/>
        <v>626.74417643881065</v>
      </c>
      <c r="Y13" s="52">
        <f t="shared" si="26"/>
        <v>607.28467976474496</v>
      </c>
      <c r="Z13" s="52">
        <f t="shared" si="26"/>
        <v>660.79259914086845</v>
      </c>
      <c r="AB13" s="47">
        <f t="shared" si="15"/>
        <v>157.55831940603144</v>
      </c>
      <c r="AC13" s="47">
        <f t="shared" si="16"/>
        <v>24.953776975980986</v>
      </c>
      <c r="AD13" s="47">
        <f t="shared" si="17"/>
        <v>-15.21237709831604</v>
      </c>
      <c r="AE13" s="47">
        <f t="shared" si="18"/>
        <v>-67.569069416956268</v>
      </c>
      <c r="AF13" s="47">
        <f t="shared" si="19"/>
        <v>399.77625219074332</v>
      </c>
      <c r="AG13" s="47">
        <f t="shared" si="20"/>
        <v>-174.12629982202833</v>
      </c>
      <c r="AH13" s="47">
        <f t="shared" si="21"/>
        <v>201.36357420335554</v>
      </c>
      <c r="AI13" s="47">
        <f t="shared" si="22"/>
        <v>27.237274381327211</v>
      </c>
      <c r="AJ13" s="47">
        <f t="shared" si="23"/>
        <v>34.048422702057792</v>
      </c>
      <c r="AK13" s="47">
        <f t="shared" si="24"/>
        <v>560.79259914086845</v>
      </c>
      <c r="AM13" s="104">
        <f t="shared" ref="AM13:AM15" si="27">Y13-E13</f>
        <v>536.72241827361381</v>
      </c>
    </row>
    <row r="14" spans="1:39" x14ac:dyDescent="0.3">
      <c r="A14" t="s">
        <v>143</v>
      </c>
      <c r="B14" s="51">
        <v>100</v>
      </c>
      <c r="C14" s="52">
        <f t="shared" ref="C14:Z14" si="28">C6/B6*B14</f>
        <v>104.6642892782434</v>
      </c>
      <c r="D14" s="52">
        <f t="shared" si="28"/>
        <v>107.93450744231501</v>
      </c>
      <c r="E14" s="52">
        <f t="shared" si="28"/>
        <v>104.02515427310415</v>
      </c>
      <c r="F14" s="52">
        <f t="shared" si="28"/>
        <v>110.50615563138741</v>
      </c>
      <c r="G14" s="52">
        <f t="shared" si="28"/>
        <v>112.24486118271652</v>
      </c>
      <c r="H14" s="52">
        <f t="shared" si="28"/>
        <v>114.02027053228257</v>
      </c>
      <c r="I14" s="52">
        <f t="shared" si="28"/>
        <v>118.32515027703772</v>
      </c>
      <c r="J14" s="52">
        <f t="shared" si="28"/>
        <v>77.033720463790388</v>
      </c>
      <c r="K14" s="52">
        <f t="shared" si="28"/>
        <v>39.938522771706573</v>
      </c>
      <c r="L14" s="52">
        <f t="shared" si="28"/>
        <v>55.824185372722965</v>
      </c>
      <c r="M14" s="52">
        <f t="shared" si="28"/>
        <v>78.485479563919156</v>
      </c>
      <c r="N14" s="52">
        <f t="shared" si="28"/>
        <v>27.900590581711629</v>
      </c>
      <c r="O14" s="52">
        <f t="shared" si="28"/>
        <v>19.292040759650018</v>
      </c>
      <c r="P14" s="52">
        <f t="shared" si="28"/>
        <v>17.325625854877565</v>
      </c>
      <c r="Q14" s="52">
        <f t="shared" si="28"/>
        <v>19.319362906594382</v>
      </c>
      <c r="R14" s="52">
        <f t="shared" si="28"/>
        <v>32.063331586589868</v>
      </c>
      <c r="S14" s="52">
        <f t="shared" si="28"/>
        <v>23.870590830362254</v>
      </c>
      <c r="T14" s="52">
        <f t="shared" si="28"/>
        <v>20.949146542556623</v>
      </c>
      <c r="U14" s="52">
        <f t="shared" si="28"/>
        <v>23.345146228378237</v>
      </c>
      <c r="V14" s="52">
        <f t="shared" si="28"/>
        <v>9.25164908308499</v>
      </c>
      <c r="W14" s="52">
        <f t="shared" si="28"/>
        <v>11.916818709036132</v>
      </c>
      <c r="X14" s="52">
        <f t="shared" si="28"/>
        <v>5.4636600303956389</v>
      </c>
      <c r="Y14" s="52">
        <f t="shared" si="28"/>
        <v>18.432438848031893</v>
      </c>
      <c r="Z14" s="52">
        <f t="shared" si="28"/>
        <v>26.538758194529006</v>
      </c>
      <c r="AB14" s="96">
        <f t="shared" si="15"/>
        <v>18.325150277037721</v>
      </c>
      <c r="AC14" s="96">
        <f t="shared" si="16"/>
        <v>-78.386627505331148</v>
      </c>
      <c r="AD14" s="96">
        <f t="shared" si="17"/>
        <v>-22.612896916829008</v>
      </c>
      <c r="AE14" s="96">
        <f t="shared" si="18"/>
        <v>1.9937370517168169</v>
      </c>
      <c r="AF14" s="96">
        <f t="shared" si="19"/>
        <v>4.0257833217838552</v>
      </c>
      <c r="AG14" s="96">
        <f t="shared" si="20"/>
        <v>-14.093497145293247</v>
      </c>
      <c r="AH14" s="96">
        <f t="shared" si="21"/>
        <v>-3.7879890526893512</v>
      </c>
      <c r="AI14" s="96">
        <f t="shared" si="22"/>
        <v>-17.881486197982596</v>
      </c>
      <c r="AJ14" s="96">
        <f t="shared" si="23"/>
        <v>21.075098164133365</v>
      </c>
      <c r="AK14" s="96">
        <f t="shared" si="24"/>
        <v>-73.461241805470991</v>
      </c>
      <c r="AM14" s="104">
        <f t="shared" si="27"/>
        <v>-85.592715425072257</v>
      </c>
    </row>
    <row r="15" spans="1:39" x14ac:dyDescent="0.3">
      <c r="A15" s="45" t="s">
        <v>146</v>
      </c>
      <c r="B15" s="51">
        <v>100</v>
      </c>
      <c r="C15" s="52">
        <f>C7/B7*B15</f>
        <v>95.64945476173088</v>
      </c>
      <c r="D15" s="52">
        <f t="shared" ref="D15:Z15" si="29">D7/C7*C15</f>
        <v>95.501896602671977</v>
      </c>
      <c r="E15" s="52">
        <f t="shared" si="29"/>
        <v>94.67948186183213</v>
      </c>
      <c r="F15" s="52">
        <f t="shared" si="29"/>
        <v>99.40065183498956</v>
      </c>
      <c r="G15" s="52">
        <f t="shared" si="29"/>
        <v>101.75350477017952</v>
      </c>
      <c r="H15" s="52">
        <f t="shared" si="29"/>
        <v>102.91741798635636</v>
      </c>
      <c r="I15" s="52">
        <f t="shared" si="29"/>
        <v>108.88154858570408</v>
      </c>
      <c r="J15" s="52">
        <f t="shared" si="29"/>
        <v>110.86529128950488</v>
      </c>
      <c r="K15" s="52">
        <f t="shared" si="29"/>
        <v>110.80992368828754</v>
      </c>
      <c r="L15" s="52">
        <f t="shared" si="29"/>
        <v>118.46109756145501</v>
      </c>
      <c r="M15" s="52">
        <f t="shared" si="29"/>
        <v>118.41091767259113</v>
      </c>
      <c r="N15" s="52">
        <f t="shared" si="29"/>
        <v>121.44500531083362</v>
      </c>
      <c r="O15" s="52">
        <f t="shared" si="29"/>
        <v>122.90614480093532</v>
      </c>
      <c r="P15" s="52">
        <f t="shared" si="29"/>
        <v>125.77476418329232</v>
      </c>
      <c r="Q15" s="52">
        <f t="shared" si="29"/>
        <v>95.797972528026023</v>
      </c>
      <c r="R15" s="52">
        <f t="shared" si="29"/>
        <v>95.278654581299094</v>
      </c>
      <c r="S15" s="52">
        <f t="shared" si="29"/>
        <v>105.35677353516722</v>
      </c>
      <c r="T15" s="52">
        <f t="shared" si="29"/>
        <v>108.62949405308794</v>
      </c>
      <c r="U15" s="52">
        <f t="shared" si="29"/>
        <v>109.16274000248123</v>
      </c>
      <c r="V15" s="52">
        <f t="shared" si="29"/>
        <v>174.66009349318227</v>
      </c>
      <c r="W15" s="52">
        <f t="shared" si="29"/>
        <v>164.25474545084924</v>
      </c>
      <c r="X15" s="52">
        <f t="shared" si="29"/>
        <v>127.68609301580015</v>
      </c>
      <c r="Y15" s="52">
        <f t="shared" si="29"/>
        <v>131.13642821101757</v>
      </c>
      <c r="Z15" s="52">
        <f t="shared" si="29"/>
        <v>130.41169963599378</v>
      </c>
      <c r="AB15" s="47">
        <f>I15-B15</f>
        <v>8.8815485857040812</v>
      </c>
      <c r="AC15" s="47">
        <f>K15-I15</f>
        <v>1.928375102583459</v>
      </c>
      <c r="AD15" s="47">
        <f>P15-K15</f>
        <v>14.964840495004779</v>
      </c>
      <c r="AE15" s="94">
        <f>Q15-P15</f>
        <v>-29.976791655266297</v>
      </c>
      <c r="AF15" s="47">
        <f>U15-Q15</f>
        <v>13.364767474455206</v>
      </c>
      <c r="AG15" s="47">
        <f>V15-U15</f>
        <v>65.497353490701045</v>
      </c>
      <c r="AH15" s="94">
        <f>X15-V15</f>
        <v>-46.97400047738212</v>
      </c>
      <c r="AI15" s="47">
        <f>X15-U15</f>
        <v>18.523353013318925</v>
      </c>
      <c r="AJ15" s="47">
        <f>Z15-X15</f>
        <v>2.7256066201936306</v>
      </c>
      <c r="AK15" s="47">
        <f>Z15-B15</f>
        <v>30.411699635993784</v>
      </c>
      <c r="AM15" s="104">
        <f t="shared" si="27"/>
        <v>36.456946349185444</v>
      </c>
    </row>
    <row r="16" spans="1:39" x14ac:dyDescent="0.3">
      <c r="A16" s="26" t="s">
        <v>132</v>
      </c>
    </row>
    <row r="17" spans="1:39" x14ac:dyDescent="0.3">
      <c r="A17" t="s">
        <v>128</v>
      </c>
      <c r="B17" s="49">
        <v>0.72313124794847927</v>
      </c>
      <c r="C17" s="49">
        <v>0.73589715715924076</v>
      </c>
      <c r="D17" s="49">
        <v>0.72424717050762533</v>
      </c>
      <c r="E17" s="49">
        <v>0.72299185155955725</v>
      </c>
      <c r="F17" s="49">
        <v>0.67482368371240187</v>
      </c>
      <c r="G17" s="49">
        <v>0.66178948914987445</v>
      </c>
      <c r="H17" s="49">
        <v>0.65898686931100869</v>
      </c>
      <c r="I17" s="49">
        <v>0.65491146377235732</v>
      </c>
      <c r="J17" s="49">
        <v>0.68282476143099591</v>
      </c>
      <c r="K17" s="49">
        <v>0.68564003683827734</v>
      </c>
      <c r="L17" s="49">
        <v>0.64409502044521039</v>
      </c>
      <c r="M17" s="49">
        <v>0.63943923162233274</v>
      </c>
      <c r="N17" s="49">
        <v>0.64341414944707087</v>
      </c>
      <c r="O17" s="49">
        <v>0.63493053401163391</v>
      </c>
      <c r="P17" s="49">
        <v>0.62834991218141556</v>
      </c>
      <c r="Q17" s="49">
        <v>0.7495738107383737</v>
      </c>
      <c r="R17" s="49">
        <v>0.73951011561639135</v>
      </c>
      <c r="S17" s="49">
        <v>0.70484981559628301</v>
      </c>
      <c r="T17" s="49">
        <v>0.7095903542740436</v>
      </c>
      <c r="U17" s="49">
        <v>0.69651686994189566</v>
      </c>
      <c r="V17" s="49">
        <v>0.62120133397992261</v>
      </c>
      <c r="W17" s="49">
        <v>0.65310123276655485</v>
      </c>
      <c r="X17" s="49">
        <v>0.68425385082689139</v>
      </c>
      <c r="Y17" s="49">
        <v>0.67169946091536603</v>
      </c>
      <c r="Z17" s="49">
        <v>0.66170132809651006</v>
      </c>
      <c r="AA17" s="49"/>
      <c r="AB17" s="47">
        <f t="shared" ref="AB17:AB20" si="30">I17-B17</f>
        <v>-6.8219784176121956E-2</v>
      </c>
      <c r="AC17" s="47">
        <f t="shared" ref="AC17:AC20" si="31">K17-I17</f>
        <v>3.0728573065920028E-2</v>
      </c>
      <c r="AD17" s="47">
        <f t="shared" ref="AD17:AD20" si="32">P17-K17</f>
        <v>-5.7290124656861785E-2</v>
      </c>
      <c r="AE17" s="47">
        <f t="shared" ref="AE17:AE20" si="33">Q17-P17</f>
        <v>0.12122389855695814</v>
      </c>
      <c r="AF17" s="47">
        <f t="shared" ref="AF17:AF20" si="34">U17-Q17</f>
        <v>-5.3056940796478047E-2</v>
      </c>
      <c r="AG17" s="47">
        <f t="shared" ref="AG17:AG20" si="35">V17-U17</f>
        <v>-7.5315535961973046E-2</v>
      </c>
      <c r="AH17" s="47">
        <f t="shared" ref="AH17:AH20" si="36">X17-V17</f>
        <v>6.3052516846968776E-2</v>
      </c>
      <c r="AI17" s="47">
        <f t="shared" ref="AI17:AI20" si="37">X17-U17</f>
        <v>-1.226301911500427E-2</v>
      </c>
      <c r="AJ17" s="47">
        <f t="shared" ref="AJ17:AJ20" si="38">Z17-X17</f>
        <v>-2.255252273038133E-2</v>
      </c>
      <c r="AK17" s="47">
        <f t="shared" ref="AK17:AK20" si="39">Z17-B17</f>
        <v>-6.1429919851969217E-2</v>
      </c>
      <c r="AM17" s="103">
        <f>Y17-E17</f>
        <v>-5.1292390644191221E-2</v>
      </c>
    </row>
    <row r="18" spans="1:39" x14ac:dyDescent="0.3">
      <c r="A18" t="s">
        <v>141</v>
      </c>
      <c r="B18" s="49">
        <v>0.12191492419809306</v>
      </c>
      <c r="C18" s="49">
        <v>0.12224094009734945</v>
      </c>
      <c r="D18" s="49">
        <v>0.11463293210216591</v>
      </c>
      <c r="E18" s="49">
        <v>0.11601084945293974</v>
      </c>
      <c r="F18" s="49">
        <v>0.10772122956171952</v>
      </c>
      <c r="G18" s="49">
        <v>0.10362699139414626</v>
      </c>
      <c r="H18" s="49">
        <v>0.1018041405448623</v>
      </c>
      <c r="I18" s="49">
        <v>9.7470330335691524E-2</v>
      </c>
      <c r="J18" s="49">
        <v>0.10196256850198666</v>
      </c>
      <c r="K18" s="49">
        <v>0.10216195888602678</v>
      </c>
      <c r="L18" s="49">
        <v>0.13196109962483019</v>
      </c>
      <c r="M18" s="49">
        <v>0.10899037905838019</v>
      </c>
      <c r="N18" s="49">
        <v>0.14634941427461429</v>
      </c>
      <c r="O18" s="49">
        <v>0.15900648529236944</v>
      </c>
      <c r="P18" s="49">
        <v>0.16302006772598804</v>
      </c>
      <c r="Q18" s="49">
        <v>0.12472339938533186</v>
      </c>
      <c r="R18" s="49">
        <v>0.12528906610490945</v>
      </c>
      <c r="S18" s="49">
        <v>9.5272285559886274E-2</v>
      </c>
      <c r="T18" s="49">
        <v>7.9611633944290355E-2</v>
      </c>
      <c r="U18" s="49">
        <v>9.1605623420492555E-2</v>
      </c>
      <c r="V18" s="49">
        <v>0.17402758108215977</v>
      </c>
      <c r="W18" s="49">
        <v>0.11220024735689578</v>
      </c>
      <c r="X18" s="49">
        <v>8.6908273517772652E-2</v>
      </c>
      <c r="Y18" s="49">
        <v>9.6014749942914548E-2</v>
      </c>
      <c r="Z18" s="49">
        <v>9.5468585212345233E-2</v>
      </c>
      <c r="AA18" s="49"/>
      <c r="AB18" s="47">
        <f t="shared" si="30"/>
        <v>-2.444459386240154E-2</v>
      </c>
      <c r="AC18" s="47">
        <f t="shared" si="31"/>
        <v>4.6916285503352528E-3</v>
      </c>
      <c r="AD18" s="47">
        <f t="shared" si="32"/>
        <v>6.0858108839961261E-2</v>
      </c>
      <c r="AE18" s="47">
        <f t="shared" si="33"/>
        <v>-3.8296668340656176E-2</v>
      </c>
      <c r="AF18" s="47">
        <f t="shared" si="34"/>
        <v>-3.3117775964839308E-2</v>
      </c>
      <c r="AG18" s="47">
        <f t="shared" si="35"/>
        <v>8.2421957661667211E-2</v>
      </c>
      <c r="AH18" s="47">
        <f t="shared" si="36"/>
        <v>-8.7119307564387113E-2</v>
      </c>
      <c r="AI18" s="47">
        <f t="shared" si="37"/>
        <v>-4.6973499027199023E-3</v>
      </c>
      <c r="AJ18" s="47">
        <f t="shared" si="38"/>
        <v>8.560311694572581E-3</v>
      </c>
      <c r="AK18" s="47">
        <f t="shared" si="39"/>
        <v>-2.644633898574783E-2</v>
      </c>
      <c r="AM18" s="103">
        <f>Y18-E18</f>
        <v>-1.9996099510025192E-2</v>
      </c>
    </row>
    <row r="19" spans="1:39" x14ac:dyDescent="0.3">
      <c r="A19" t="s">
        <v>142</v>
      </c>
      <c r="B19" s="49">
        <v>8.7567409975407379E-2</v>
      </c>
      <c r="C19" s="49">
        <v>8.0253666570795523E-2</v>
      </c>
      <c r="D19" s="49">
        <v>9.7114677849891251E-2</v>
      </c>
      <c r="E19" s="49">
        <v>9.8596472045822184E-2</v>
      </c>
      <c r="F19" s="49">
        <v>0.15316625847690388</v>
      </c>
      <c r="G19" s="49">
        <v>0.17204550484182474</v>
      </c>
      <c r="H19" s="49">
        <v>0.17967511295159572</v>
      </c>
      <c r="I19" s="49">
        <v>0.18489506150088569</v>
      </c>
      <c r="J19" s="49">
        <v>0.16518077047752297</v>
      </c>
      <c r="K19" s="49">
        <v>0.16147565360913985</v>
      </c>
      <c r="L19" s="49">
        <v>0.17120458592925325</v>
      </c>
      <c r="M19" s="49">
        <v>0.19610591939628744</v>
      </c>
      <c r="N19" s="49">
        <v>0.16744093508656252</v>
      </c>
      <c r="O19" s="49">
        <v>0.1656529843474524</v>
      </c>
      <c r="P19" s="49">
        <v>0.16408865612046813</v>
      </c>
      <c r="Q19" s="49">
        <v>8.8146148767917404E-2</v>
      </c>
      <c r="R19" s="49">
        <v>9.7786594669708571E-2</v>
      </c>
      <c r="S19" s="49">
        <v>0.16577730125295723</v>
      </c>
      <c r="T19" s="49">
        <v>0.17694585899352441</v>
      </c>
      <c r="U19" s="49">
        <v>0.17869019292817581</v>
      </c>
      <c r="V19" s="49">
        <v>0.17641793326612346</v>
      </c>
      <c r="W19" s="49">
        <v>0.20524125908211258</v>
      </c>
      <c r="X19" s="49">
        <v>0.20183827696386403</v>
      </c>
      <c r="Y19" s="49">
        <v>0.20686426035112276</v>
      </c>
      <c r="Z19" s="49">
        <v>0.2149780626916041</v>
      </c>
      <c r="AA19" s="49"/>
      <c r="AB19" s="47">
        <f t="shared" si="30"/>
        <v>9.7327651525478315E-2</v>
      </c>
      <c r="AC19" s="47">
        <f t="shared" si="31"/>
        <v>-2.3419407891745847E-2</v>
      </c>
      <c r="AD19" s="47">
        <f t="shared" si="32"/>
        <v>2.6130025113282884E-3</v>
      </c>
      <c r="AE19" s="47">
        <f t="shared" si="33"/>
        <v>-7.5942507352550731E-2</v>
      </c>
      <c r="AF19" s="47">
        <f t="shared" si="34"/>
        <v>9.0544044160258408E-2</v>
      </c>
      <c r="AG19" s="47">
        <f t="shared" si="35"/>
        <v>-2.2722596620523561E-3</v>
      </c>
      <c r="AH19" s="47">
        <f t="shared" si="36"/>
        <v>2.5420343697740572E-2</v>
      </c>
      <c r="AI19" s="47">
        <f t="shared" si="37"/>
        <v>2.3148084035688216E-2</v>
      </c>
      <c r="AJ19" s="47">
        <f t="shared" si="38"/>
        <v>1.3139785727740078E-2</v>
      </c>
      <c r="AK19" s="47">
        <f t="shared" si="39"/>
        <v>0.12741065271619673</v>
      </c>
      <c r="AM19" s="103">
        <f t="shared" ref="AM19:AM21" si="40">Y19-E19</f>
        <v>0.10826778830530058</v>
      </c>
    </row>
    <row r="20" spans="1:39" x14ac:dyDescent="0.3">
      <c r="A20" t="s">
        <v>143</v>
      </c>
      <c r="B20" s="49">
        <v>6.7386417878019994E-2</v>
      </c>
      <c r="C20" s="49">
        <v>6.1608236172614309E-2</v>
      </c>
      <c r="D20" s="49">
        <v>6.4005219540317626E-2</v>
      </c>
      <c r="E20" s="49">
        <v>6.2400826941680809E-2</v>
      </c>
      <c r="F20" s="49">
        <v>6.4288828248974791E-2</v>
      </c>
      <c r="G20" s="49">
        <v>6.2538014614154272E-2</v>
      </c>
      <c r="H20" s="49">
        <v>5.9533877192533273E-2</v>
      </c>
      <c r="I20" s="49">
        <v>6.2723144391065425E-2</v>
      </c>
      <c r="J20" s="49">
        <v>5.0031899589494257E-2</v>
      </c>
      <c r="K20" s="49">
        <v>5.0722350666556199E-2</v>
      </c>
      <c r="L20" s="49">
        <v>5.2739294000706448E-2</v>
      </c>
      <c r="M20" s="49">
        <v>5.5464469922999603E-2</v>
      </c>
      <c r="N20" s="49">
        <v>4.279550119175226E-2</v>
      </c>
      <c r="O20" s="49">
        <v>4.0409996348544128E-2</v>
      </c>
      <c r="P20" s="49">
        <v>4.4541363972128198E-2</v>
      </c>
      <c r="Q20" s="49">
        <v>3.7556641108377295E-2</v>
      </c>
      <c r="R20" s="49">
        <v>3.741422360899082E-2</v>
      </c>
      <c r="S20" s="49">
        <v>3.4100597590873666E-2</v>
      </c>
      <c r="T20" s="49">
        <v>3.3852152788141743E-2</v>
      </c>
      <c r="U20" s="49">
        <v>3.3187313709436041E-2</v>
      </c>
      <c r="V20" s="49">
        <v>2.8353151671794107E-2</v>
      </c>
      <c r="W20" s="49">
        <v>2.9457260794436849E-2</v>
      </c>
      <c r="X20" s="49">
        <v>2.6999598691471848E-2</v>
      </c>
      <c r="Y20" s="49">
        <v>2.542152879059659E-2</v>
      </c>
      <c r="Z20" s="49">
        <v>2.7852023999540853E-2</v>
      </c>
      <c r="AA20" s="49"/>
      <c r="AB20" s="96">
        <f t="shared" si="30"/>
        <v>-4.6632734869545694E-3</v>
      </c>
      <c r="AC20" s="96">
        <f t="shared" si="31"/>
        <v>-1.2000793724509226E-2</v>
      </c>
      <c r="AD20" s="96">
        <f t="shared" si="32"/>
        <v>-6.1809866944280006E-3</v>
      </c>
      <c r="AE20" s="96">
        <f t="shared" si="33"/>
        <v>-6.9847228637509029E-3</v>
      </c>
      <c r="AF20" s="96">
        <f t="shared" si="34"/>
        <v>-4.3693273989412543E-3</v>
      </c>
      <c r="AG20" s="96">
        <f t="shared" si="35"/>
        <v>-4.8341620376419342E-3</v>
      </c>
      <c r="AH20" s="96">
        <f t="shared" si="36"/>
        <v>-1.3535529803222583E-3</v>
      </c>
      <c r="AI20" s="96">
        <f t="shared" si="37"/>
        <v>-6.1877150179641925E-3</v>
      </c>
      <c r="AJ20" s="96">
        <f t="shared" si="38"/>
        <v>8.5242530806900474E-4</v>
      </c>
      <c r="AK20" s="96">
        <f t="shared" si="39"/>
        <v>-3.9534393878479138E-2</v>
      </c>
      <c r="AM20" s="103">
        <f t="shared" si="40"/>
        <v>-3.6979298151084222E-2</v>
      </c>
    </row>
    <row r="21" spans="1:39" x14ac:dyDescent="0.3">
      <c r="A21" s="45" t="s">
        <v>147</v>
      </c>
      <c r="B21" s="49">
        <f>B18+B19</f>
        <v>0.20948233417350043</v>
      </c>
      <c r="C21" s="49">
        <f t="shared" ref="C21:Z21" si="41">C18+C19</f>
        <v>0.20249460666814498</v>
      </c>
      <c r="D21" s="49">
        <f t="shared" si="41"/>
        <v>0.21174760995205716</v>
      </c>
      <c r="E21" s="49">
        <f t="shared" si="41"/>
        <v>0.21460732149876194</v>
      </c>
      <c r="F21" s="49">
        <f t="shared" si="41"/>
        <v>0.26088748803862338</v>
      </c>
      <c r="G21" s="49">
        <f t="shared" si="41"/>
        <v>0.27567249623597101</v>
      </c>
      <c r="H21" s="49">
        <f t="shared" si="41"/>
        <v>0.28147925349645803</v>
      </c>
      <c r="I21" s="49">
        <f t="shared" si="41"/>
        <v>0.28236539183657722</v>
      </c>
      <c r="J21" s="49">
        <f t="shared" si="41"/>
        <v>0.26714333897950965</v>
      </c>
      <c r="K21" s="49">
        <f t="shared" si="41"/>
        <v>0.2636376124951666</v>
      </c>
      <c r="L21" s="49">
        <f t="shared" si="41"/>
        <v>0.30316568555408341</v>
      </c>
      <c r="M21" s="49">
        <f t="shared" si="41"/>
        <v>0.30509629845466762</v>
      </c>
      <c r="N21" s="49">
        <f t="shared" si="41"/>
        <v>0.31379034936117678</v>
      </c>
      <c r="O21" s="49">
        <f t="shared" si="41"/>
        <v>0.32465946963982184</v>
      </c>
      <c r="P21" s="49">
        <f t="shared" si="41"/>
        <v>0.32710872384645617</v>
      </c>
      <c r="Q21" s="49">
        <f t="shared" si="41"/>
        <v>0.21286954815324927</v>
      </c>
      <c r="R21" s="49">
        <f t="shared" si="41"/>
        <v>0.22307566077461802</v>
      </c>
      <c r="S21" s="49">
        <f t="shared" si="41"/>
        <v>0.26104958681284351</v>
      </c>
      <c r="T21" s="49">
        <f t="shared" si="41"/>
        <v>0.25655749293781477</v>
      </c>
      <c r="U21" s="49">
        <f t="shared" si="41"/>
        <v>0.27029581634866839</v>
      </c>
      <c r="V21" s="49">
        <f t="shared" si="41"/>
        <v>0.35044551434828319</v>
      </c>
      <c r="W21" s="49">
        <f t="shared" si="41"/>
        <v>0.31744150643900837</v>
      </c>
      <c r="X21" s="49">
        <f t="shared" si="41"/>
        <v>0.28874655048163667</v>
      </c>
      <c r="Y21" s="49">
        <f t="shared" si="41"/>
        <v>0.3028790102940373</v>
      </c>
      <c r="Z21" s="49">
        <f t="shared" si="41"/>
        <v>0.31044664790394932</v>
      </c>
      <c r="AA21" s="49"/>
      <c r="AB21" s="47">
        <f>I21-B21</f>
        <v>7.2883057663076789E-2</v>
      </c>
      <c r="AC21" s="94">
        <f>K21-I21</f>
        <v>-1.8727779341410622E-2</v>
      </c>
      <c r="AD21" s="47">
        <f>P21-K21</f>
        <v>6.3471111351289577E-2</v>
      </c>
      <c r="AE21" s="94">
        <f>Q21-P21</f>
        <v>-0.11423917569320691</v>
      </c>
      <c r="AF21" s="47">
        <f>U21-Q21</f>
        <v>5.7426268195419128E-2</v>
      </c>
      <c r="AG21" s="47">
        <f>V21-U21</f>
        <v>8.01496979996148E-2</v>
      </c>
      <c r="AH21" s="94">
        <f>X21-V21</f>
        <v>-6.1698963866646528E-2</v>
      </c>
      <c r="AI21" s="47">
        <f>X21-U21</f>
        <v>1.8450734132968272E-2</v>
      </c>
      <c r="AJ21" s="47">
        <f>Z21-X21</f>
        <v>2.1700097422312659E-2</v>
      </c>
      <c r="AK21" s="47">
        <f>Z21-B21</f>
        <v>0.1009643137304489</v>
      </c>
      <c r="AM21" s="103">
        <f t="shared" si="40"/>
        <v>8.827168879527536E-2</v>
      </c>
    </row>
    <row r="22" spans="1:39" x14ac:dyDescent="0.3">
      <c r="A22" s="45" t="s">
        <v>251</v>
      </c>
      <c r="B22" s="50">
        <f>B18/B$21</f>
        <v>0.58198188729899747</v>
      </c>
      <c r="C22" s="50">
        <f t="shared" ref="C22:Z22" si="42">C18/C$21</f>
        <v>0.60367504156632701</v>
      </c>
      <c r="D22" s="50">
        <f t="shared" si="42"/>
        <v>0.54136588426249788</v>
      </c>
      <c r="E22" s="50">
        <f t="shared" si="42"/>
        <v>0.54057265447772251</v>
      </c>
      <c r="F22" s="50">
        <f t="shared" si="42"/>
        <v>0.41290301183693334</v>
      </c>
      <c r="G22" s="50">
        <f t="shared" si="42"/>
        <v>0.37590616695197371</v>
      </c>
      <c r="H22" s="50">
        <f t="shared" si="42"/>
        <v>0.36167546730453204</v>
      </c>
      <c r="I22" s="50">
        <f t="shared" si="42"/>
        <v>0.34519219831339598</v>
      </c>
      <c r="J22" s="50">
        <f t="shared" si="42"/>
        <v>0.38167737549244068</v>
      </c>
      <c r="K22" s="50">
        <f t="shared" si="42"/>
        <v>0.38750904288324856</v>
      </c>
      <c r="L22" s="50">
        <f t="shared" si="42"/>
        <v>0.43527716332292138</v>
      </c>
      <c r="M22" s="50">
        <f t="shared" si="42"/>
        <v>0.35723271508183962</v>
      </c>
      <c r="N22" s="50">
        <f t="shared" si="42"/>
        <v>0.466392336706838</v>
      </c>
      <c r="O22" s="50">
        <f t="shared" si="42"/>
        <v>0.48976389159007649</v>
      </c>
      <c r="P22" s="50">
        <f t="shared" si="42"/>
        <v>0.49836661587328729</v>
      </c>
      <c r="Q22" s="50">
        <f t="shared" si="42"/>
        <v>0.58591470911349364</v>
      </c>
      <c r="R22" s="50">
        <f t="shared" si="42"/>
        <v>0.56164381927571128</v>
      </c>
      <c r="S22" s="50">
        <f t="shared" si="42"/>
        <v>0.36495857634967505</v>
      </c>
      <c r="T22" s="50">
        <f t="shared" si="42"/>
        <v>0.31030718702722465</v>
      </c>
      <c r="U22" s="50">
        <f t="shared" si="42"/>
        <v>0.33890877283252424</v>
      </c>
      <c r="V22" s="50">
        <f t="shared" si="42"/>
        <v>0.49658955231826984</v>
      </c>
      <c r="W22" s="50">
        <f t="shared" si="42"/>
        <v>0.3534517228560764</v>
      </c>
      <c r="X22" s="50">
        <f t="shared" si="42"/>
        <v>0.30098462950572885</v>
      </c>
      <c r="Y22" s="50">
        <f t="shared" si="42"/>
        <v>0.31700694561073306</v>
      </c>
      <c r="Z22" s="50">
        <f t="shared" si="42"/>
        <v>0.30752010323488094</v>
      </c>
      <c r="AA22" s="49"/>
      <c r="AB22" s="47"/>
      <c r="AC22" s="47"/>
      <c r="AD22" s="47"/>
      <c r="AE22" s="47"/>
      <c r="AF22" s="47"/>
      <c r="AG22" s="47"/>
      <c r="AH22" s="47"/>
      <c r="AI22" s="47"/>
      <c r="AJ22" s="47"/>
      <c r="AK22" s="47"/>
    </row>
    <row r="23" spans="1:39" x14ac:dyDescent="0.3">
      <c r="A23" s="45" t="s">
        <v>252</v>
      </c>
      <c r="B23" s="50">
        <f>B19/B$21</f>
        <v>0.41801811270100253</v>
      </c>
      <c r="C23" s="50">
        <f t="shared" ref="C23:Z23" si="43">C19/C$21</f>
        <v>0.39632495843367299</v>
      </c>
      <c r="D23" s="50">
        <f t="shared" si="43"/>
        <v>0.45863411573750218</v>
      </c>
      <c r="E23" s="50">
        <f t="shared" si="43"/>
        <v>0.45942734552227743</v>
      </c>
      <c r="F23" s="50">
        <f t="shared" si="43"/>
        <v>0.58709698816306666</v>
      </c>
      <c r="G23" s="50">
        <f t="shared" si="43"/>
        <v>0.62409383304802624</v>
      </c>
      <c r="H23" s="50">
        <f t="shared" si="43"/>
        <v>0.63832453269546785</v>
      </c>
      <c r="I23" s="50">
        <f t="shared" si="43"/>
        <v>0.65480780168660402</v>
      </c>
      <c r="J23" s="50">
        <f t="shared" si="43"/>
        <v>0.61832262450755926</v>
      </c>
      <c r="K23" s="50">
        <f t="shared" si="43"/>
        <v>0.6124909571167515</v>
      </c>
      <c r="L23" s="50">
        <f t="shared" si="43"/>
        <v>0.56472283667707868</v>
      </c>
      <c r="M23" s="50">
        <f t="shared" si="43"/>
        <v>0.64276728491816038</v>
      </c>
      <c r="N23" s="50">
        <f t="shared" si="43"/>
        <v>0.53360766329316212</v>
      </c>
      <c r="O23" s="50">
        <f t="shared" si="43"/>
        <v>0.51023610840992351</v>
      </c>
      <c r="P23" s="50">
        <f t="shared" si="43"/>
        <v>0.50163338412671266</v>
      </c>
      <c r="Q23" s="50">
        <f t="shared" si="43"/>
        <v>0.41408529088650642</v>
      </c>
      <c r="R23" s="50">
        <f t="shared" si="43"/>
        <v>0.43835618072428867</v>
      </c>
      <c r="S23" s="50">
        <f t="shared" si="43"/>
        <v>0.6350414236503249</v>
      </c>
      <c r="T23" s="50">
        <f t="shared" si="43"/>
        <v>0.68969281297277529</v>
      </c>
      <c r="U23" s="50">
        <f t="shared" si="43"/>
        <v>0.66109122716747559</v>
      </c>
      <c r="V23" s="50">
        <f t="shared" si="43"/>
        <v>0.50341044768173027</v>
      </c>
      <c r="W23" s="50">
        <f t="shared" si="43"/>
        <v>0.6465482771439236</v>
      </c>
      <c r="X23" s="50">
        <f t="shared" si="43"/>
        <v>0.6990153704942712</v>
      </c>
      <c r="Y23" s="50">
        <f t="shared" si="43"/>
        <v>0.68299305438926694</v>
      </c>
      <c r="Z23" s="50">
        <f t="shared" si="43"/>
        <v>0.69247989676511912</v>
      </c>
      <c r="AA23" s="49"/>
      <c r="AB23" s="47"/>
      <c r="AC23" s="47"/>
      <c r="AD23" s="47"/>
      <c r="AE23" s="47"/>
      <c r="AF23" s="47"/>
      <c r="AG23" s="47"/>
      <c r="AH23" s="47"/>
      <c r="AI23" s="47"/>
      <c r="AJ23" s="47"/>
      <c r="AK23" s="47"/>
    </row>
    <row r="24" spans="1:39" x14ac:dyDescent="0.3">
      <c r="A24" s="45" t="s">
        <v>131</v>
      </c>
    </row>
    <row r="25" spans="1:39" x14ac:dyDescent="0.3">
      <c r="A25" t="s">
        <v>128</v>
      </c>
      <c r="B25" s="51">
        <v>100</v>
      </c>
      <c r="C25" s="52">
        <f>C17/B17*B25</f>
        <v>101.76536545018327</v>
      </c>
      <c r="D25" s="52">
        <f t="shared" ref="D25:Z25" si="44">D17/C17*C25</f>
        <v>100.15431812168427</v>
      </c>
      <c r="E25" s="52">
        <f t="shared" si="44"/>
        <v>99.980723224267052</v>
      </c>
      <c r="F25" s="52">
        <f t="shared" si="44"/>
        <v>93.319668542449847</v>
      </c>
      <c r="G25" s="52">
        <f t="shared" si="44"/>
        <v>91.517202586303512</v>
      </c>
      <c r="H25" s="52">
        <f t="shared" si="44"/>
        <v>91.129635343591104</v>
      </c>
      <c r="I25" s="52">
        <f t="shared" si="44"/>
        <v>90.566057770334069</v>
      </c>
      <c r="J25" s="52">
        <f t="shared" si="44"/>
        <v>94.426117439699553</v>
      </c>
      <c r="K25" s="52">
        <f t="shared" si="44"/>
        <v>94.815434789111336</v>
      </c>
      <c r="L25" s="52">
        <f t="shared" si="44"/>
        <v>89.070279049965777</v>
      </c>
      <c r="M25" s="52">
        <f t="shared" si="44"/>
        <v>88.426441733284179</v>
      </c>
      <c r="N25" s="52">
        <f t="shared" si="44"/>
        <v>88.976123113533603</v>
      </c>
      <c r="O25" s="52">
        <f t="shared" si="44"/>
        <v>87.802945290074177</v>
      </c>
      <c r="P25" s="52">
        <f t="shared" si="44"/>
        <v>86.892927662031198</v>
      </c>
      <c r="Q25" s="52">
        <f t="shared" si="44"/>
        <v>103.65667544652673</v>
      </c>
      <c r="R25" s="52">
        <f t="shared" si="44"/>
        <v>102.26499238061953</v>
      </c>
      <c r="S25" s="52">
        <f t="shared" si="44"/>
        <v>97.471906738360332</v>
      </c>
      <c r="T25" s="52">
        <f t="shared" si="44"/>
        <v>98.127463899139855</v>
      </c>
      <c r="U25" s="52">
        <f t="shared" si="44"/>
        <v>96.319564659653608</v>
      </c>
      <c r="V25" s="52">
        <f t="shared" si="44"/>
        <v>85.904368777074481</v>
      </c>
      <c r="W25" s="52">
        <f t="shared" si="44"/>
        <v>90.315725481287188</v>
      </c>
      <c r="X25" s="52">
        <f t="shared" si="44"/>
        <v>94.623742614928744</v>
      </c>
      <c r="Y25" s="52">
        <f t="shared" si="44"/>
        <v>92.887627636196726</v>
      </c>
      <c r="Z25" s="52">
        <f t="shared" si="44"/>
        <v>91.505011016154285</v>
      </c>
      <c r="AB25" s="47">
        <f t="shared" ref="AB25:AB28" si="45">I25-B25</f>
        <v>-9.4339422296659308</v>
      </c>
      <c r="AC25" s="47">
        <f t="shared" ref="AC25:AC28" si="46">K25-I25</f>
        <v>4.2493770187772668</v>
      </c>
      <c r="AD25" s="47">
        <f t="shared" ref="AD25:AD28" si="47">P25-K25</f>
        <v>-7.9225071270801379</v>
      </c>
      <c r="AE25" s="47">
        <f t="shared" ref="AE25:AE28" si="48">Q25-P25</f>
        <v>16.763747784495536</v>
      </c>
      <c r="AF25" s="47">
        <f t="shared" ref="AF25:AF28" si="49">U25-Q25</f>
        <v>-7.3371107868731258</v>
      </c>
      <c r="AG25" s="47">
        <f t="shared" ref="AG25:AG28" si="50">V25-U25</f>
        <v>-10.415195882579127</v>
      </c>
      <c r="AH25" s="47">
        <f t="shared" ref="AH25:AH28" si="51">X25-V25</f>
        <v>8.7193738378542633</v>
      </c>
      <c r="AI25" s="47">
        <f t="shared" ref="AI25:AI28" si="52">X25-U25</f>
        <v>-1.6958220447248635</v>
      </c>
      <c r="AJ25" s="47">
        <f t="shared" ref="AJ25:AJ28" si="53">Z25-X25</f>
        <v>-3.1187315987744597</v>
      </c>
      <c r="AK25" s="47">
        <f t="shared" ref="AK25:AK28" si="54">Z25-B25</f>
        <v>-8.4949889838457153</v>
      </c>
      <c r="AM25" s="104">
        <f>Y25-E25</f>
        <v>-7.0930955880703266</v>
      </c>
    </row>
    <row r="26" spans="1:39" x14ac:dyDescent="0.3">
      <c r="A26" t="s">
        <v>141</v>
      </c>
      <c r="B26" s="51">
        <v>100</v>
      </c>
      <c r="C26" s="52">
        <f t="shared" ref="C26:Z26" si="55">C18/B18*B26</f>
        <v>100.26741262515708</v>
      </c>
      <c r="D26" s="52">
        <f t="shared" si="55"/>
        <v>94.026988784330428</v>
      </c>
      <c r="E26" s="52">
        <f t="shared" si="55"/>
        <v>95.157217392384126</v>
      </c>
      <c r="F26" s="52">
        <f t="shared" si="55"/>
        <v>88.357705400110845</v>
      </c>
      <c r="G26" s="52">
        <f t="shared" si="55"/>
        <v>84.99943060766563</v>
      </c>
      <c r="H26" s="52">
        <f t="shared" si="55"/>
        <v>83.504247912623214</v>
      </c>
      <c r="I26" s="52">
        <f t="shared" si="55"/>
        <v>79.949465561178698</v>
      </c>
      <c r="J26" s="52">
        <f t="shared" si="55"/>
        <v>83.634197513270081</v>
      </c>
      <c r="K26" s="52">
        <f t="shared" si="55"/>
        <v>83.797746303831715</v>
      </c>
      <c r="L26" s="52">
        <f t="shared" si="55"/>
        <v>108.24031634585904</v>
      </c>
      <c r="M26" s="52">
        <f t="shared" si="55"/>
        <v>89.39871781512781</v>
      </c>
      <c r="N26" s="52">
        <f t="shared" si="55"/>
        <v>120.04224686783951</v>
      </c>
      <c r="O26" s="52">
        <f t="shared" si="55"/>
        <v>130.42413497629568</v>
      </c>
      <c r="P26" s="52">
        <f t="shared" si="55"/>
        <v>133.71625237703091</v>
      </c>
      <c r="Q26" s="52">
        <f t="shared" si="55"/>
        <v>102.30363526509312</v>
      </c>
      <c r="R26" s="52">
        <f t="shared" si="55"/>
        <v>102.76762006703457</v>
      </c>
      <c r="S26" s="52">
        <f t="shared" si="55"/>
        <v>78.146532253166512</v>
      </c>
      <c r="T26" s="52">
        <f t="shared" si="55"/>
        <v>65.300974813332672</v>
      </c>
      <c r="U26" s="52">
        <f t="shared" si="55"/>
        <v>75.138974184692486</v>
      </c>
      <c r="V26" s="52">
        <f t="shared" si="55"/>
        <v>142.74510050909896</v>
      </c>
      <c r="W26" s="52">
        <f t="shared" si="55"/>
        <v>92.031593420496719</v>
      </c>
      <c r="X26" s="52">
        <f t="shared" si="55"/>
        <v>71.286000536374061</v>
      </c>
      <c r="Y26" s="52">
        <f t="shared" si="55"/>
        <v>78.755534299398249</v>
      </c>
      <c r="Z26" s="52">
        <f t="shared" si="55"/>
        <v>78.307545889314937</v>
      </c>
      <c r="AB26" s="47">
        <f t="shared" si="45"/>
        <v>-20.050534438821302</v>
      </c>
      <c r="AC26" s="47">
        <f t="shared" si="46"/>
        <v>3.8482807426530172</v>
      </c>
      <c r="AD26" s="47">
        <f t="shared" si="47"/>
        <v>49.918506073199197</v>
      </c>
      <c r="AE26" s="47">
        <f t="shared" si="48"/>
        <v>-31.412617111937791</v>
      </c>
      <c r="AF26" s="47">
        <f t="shared" si="49"/>
        <v>-27.164661080400634</v>
      </c>
      <c r="AG26" s="47">
        <f t="shared" si="50"/>
        <v>67.606126324406475</v>
      </c>
      <c r="AH26" s="47">
        <f t="shared" si="51"/>
        <v>-71.4590999727249</v>
      </c>
      <c r="AI26" s="47">
        <f t="shared" si="52"/>
        <v>-3.8529736483184251</v>
      </c>
      <c r="AJ26" s="47">
        <f t="shared" si="53"/>
        <v>7.0215453529408762</v>
      </c>
      <c r="AK26" s="47">
        <f t="shared" si="54"/>
        <v>-21.692454110685063</v>
      </c>
      <c r="AM26" s="104">
        <f>Y26-E26</f>
        <v>-16.401683092985877</v>
      </c>
    </row>
    <row r="27" spans="1:39" x14ac:dyDescent="0.3">
      <c r="A27" t="s">
        <v>142</v>
      </c>
      <c r="B27" s="51">
        <v>100</v>
      </c>
      <c r="C27" s="52">
        <f>C19/B19*B27</f>
        <v>91.647870587167233</v>
      </c>
      <c r="D27" s="52">
        <f t="shared" ref="D27:Z27" si="56">D19/C19*C27</f>
        <v>110.90276379895803</v>
      </c>
      <c r="E27" s="52">
        <f t="shared" si="56"/>
        <v>112.59493922854661</v>
      </c>
      <c r="F27" s="52">
        <f t="shared" si="56"/>
        <v>174.91240008117111</v>
      </c>
      <c r="G27" s="52">
        <f t="shared" si="56"/>
        <v>196.47207207583551</v>
      </c>
      <c r="H27" s="52">
        <f t="shared" si="56"/>
        <v>205.18491183198876</v>
      </c>
      <c r="I27" s="52">
        <f t="shared" si="56"/>
        <v>211.14597491556739</v>
      </c>
      <c r="J27" s="52">
        <f t="shared" si="56"/>
        <v>188.63270082318607</v>
      </c>
      <c r="K27" s="52">
        <f t="shared" si="56"/>
        <v>184.40154122919594</v>
      </c>
      <c r="L27" s="52">
        <f t="shared" si="56"/>
        <v>195.51176171287327</v>
      </c>
      <c r="M27" s="52">
        <f t="shared" si="56"/>
        <v>223.94852086108551</v>
      </c>
      <c r="N27" s="52">
        <f t="shared" si="56"/>
        <v>191.2137576452096</v>
      </c>
      <c r="O27" s="52">
        <f t="shared" si="56"/>
        <v>189.17195837352594</v>
      </c>
      <c r="P27" s="52">
        <f t="shared" si="56"/>
        <v>187.38553094872989</v>
      </c>
      <c r="Q27" s="52">
        <f t="shared" si="56"/>
        <v>100.66090660060927</v>
      </c>
      <c r="R27" s="52">
        <f t="shared" si="56"/>
        <v>111.67007759755734</v>
      </c>
      <c r="S27" s="52">
        <f t="shared" si="56"/>
        <v>189.31392546555222</v>
      </c>
      <c r="T27" s="52">
        <f t="shared" si="56"/>
        <v>202.06816559176332</v>
      </c>
      <c r="U27" s="52">
        <f t="shared" si="56"/>
        <v>204.0601554600731</v>
      </c>
      <c r="V27" s="52">
        <f t="shared" si="56"/>
        <v>201.4652863612948</v>
      </c>
      <c r="W27" s="52">
        <f t="shared" si="56"/>
        <v>234.38087199307716</v>
      </c>
      <c r="X27" s="52">
        <f t="shared" si="56"/>
        <v>230.49474344456323</v>
      </c>
      <c r="Y27" s="52">
        <f t="shared" si="56"/>
        <v>236.23430270373311</v>
      </c>
      <c r="Z27" s="52">
        <f t="shared" si="56"/>
        <v>245.50008131104838</v>
      </c>
      <c r="AB27" s="47">
        <f t="shared" si="45"/>
        <v>111.14597491556739</v>
      </c>
      <c r="AC27" s="47">
        <f t="shared" si="46"/>
        <v>-26.744433686371451</v>
      </c>
      <c r="AD27" s="47">
        <f t="shared" si="47"/>
        <v>2.9839897195339518</v>
      </c>
      <c r="AE27" s="47">
        <f t="shared" si="48"/>
        <v>-86.724624348120628</v>
      </c>
      <c r="AF27" s="47">
        <f t="shared" si="49"/>
        <v>103.39924885946384</v>
      </c>
      <c r="AG27" s="47">
        <f t="shared" si="50"/>
        <v>-2.5948690987783039</v>
      </c>
      <c r="AH27" s="47">
        <f t="shared" si="51"/>
        <v>29.029457083268426</v>
      </c>
      <c r="AI27" s="47">
        <f t="shared" si="52"/>
        <v>26.434587984490122</v>
      </c>
      <c r="AJ27" s="47">
        <f t="shared" si="53"/>
        <v>15.005337866485149</v>
      </c>
      <c r="AK27" s="47">
        <f t="shared" si="54"/>
        <v>145.50008131104838</v>
      </c>
      <c r="AM27" s="104">
        <f t="shared" ref="AM27:AM29" si="57">Y27-E27</f>
        <v>123.6393634751865</v>
      </c>
    </row>
    <row r="28" spans="1:39" x14ac:dyDescent="0.3">
      <c r="A28" t="s">
        <v>143</v>
      </c>
      <c r="B28" s="51">
        <v>100</v>
      </c>
      <c r="C28" s="52">
        <f>C20/B20*B28</f>
        <v>91.425302179045772</v>
      </c>
      <c r="D28" s="52">
        <f t="shared" ref="D28:Z28" si="58">D20/C20*C28</f>
        <v>94.982374127939437</v>
      </c>
      <c r="E28" s="52">
        <f t="shared" si="58"/>
        <v>92.601489894649262</v>
      </c>
      <c r="F28" s="52">
        <f t="shared" si="58"/>
        <v>95.403243373683523</v>
      </c>
      <c r="G28" s="52">
        <f t="shared" si="58"/>
        <v>92.805073460586542</v>
      </c>
      <c r="H28" s="52">
        <f t="shared" si="58"/>
        <v>88.346997907351223</v>
      </c>
      <c r="I28" s="52">
        <f t="shared" si="58"/>
        <v>93.079802082081557</v>
      </c>
      <c r="J28" s="52">
        <f t="shared" si="58"/>
        <v>74.246266777468222</v>
      </c>
      <c r="K28" s="52">
        <f t="shared" si="58"/>
        <v>75.270881379051232</v>
      </c>
      <c r="L28" s="52">
        <f t="shared" si="58"/>
        <v>78.263982062635932</v>
      </c>
      <c r="M28" s="52">
        <f t="shared" si="58"/>
        <v>82.308084729179427</v>
      </c>
      <c r="N28" s="52">
        <f t="shared" si="58"/>
        <v>63.507606635537222</v>
      </c>
      <c r="O28" s="52">
        <f t="shared" si="58"/>
        <v>59.967568571002801</v>
      </c>
      <c r="P28" s="52">
        <f t="shared" si="58"/>
        <v>66.098429586738192</v>
      </c>
      <c r="Q28" s="52">
        <f t="shared" si="58"/>
        <v>55.733250543693721</v>
      </c>
      <c r="R28" s="52">
        <f t="shared" si="58"/>
        <v>55.521906026695845</v>
      </c>
      <c r="S28" s="52">
        <f t="shared" si="58"/>
        <v>50.604556028784785</v>
      </c>
      <c r="T28" s="52">
        <f t="shared" si="58"/>
        <v>50.235869265850383</v>
      </c>
      <c r="U28" s="52">
        <f t="shared" si="58"/>
        <v>49.249262320947679</v>
      </c>
      <c r="V28" s="52">
        <f t="shared" si="58"/>
        <v>42.075469456052367</v>
      </c>
      <c r="W28" s="52">
        <f t="shared" si="58"/>
        <v>43.713943732339544</v>
      </c>
      <c r="X28" s="52">
        <f t="shared" si="58"/>
        <v>40.066825840698897</v>
      </c>
      <c r="Y28" s="52">
        <f t="shared" si="58"/>
        <v>37.725003926775805</v>
      </c>
      <c r="Z28" s="52">
        <f t="shared" si="58"/>
        <v>41.331806729892364</v>
      </c>
      <c r="AB28" s="96">
        <f t="shared" si="45"/>
        <v>-6.9201979179184434</v>
      </c>
      <c r="AC28" s="96">
        <f t="shared" si="46"/>
        <v>-17.808920703030324</v>
      </c>
      <c r="AD28" s="96">
        <f t="shared" si="47"/>
        <v>-9.1724517923130406</v>
      </c>
      <c r="AE28" s="96">
        <f t="shared" si="48"/>
        <v>-10.365179043044471</v>
      </c>
      <c r="AF28" s="96">
        <f t="shared" si="49"/>
        <v>-6.4839882227460421</v>
      </c>
      <c r="AG28" s="96">
        <f t="shared" si="50"/>
        <v>-7.1737928648953115</v>
      </c>
      <c r="AH28" s="96">
        <f t="shared" si="51"/>
        <v>-2.0086436153534706</v>
      </c>
      <c r="AI28" s="96">
        <f t="shared" si="52"/>
        <v>-9.1824364802487821</v>
      </c>
      <c r="AJ28" s="96">
        <f t="shared" si="53"/>
        <v>1.2649808891934669</v>
      </c>
      <c r="AK28" s="96">
        <f t="shared" si="54"/>
        <v>-58.668193270107636</v>
      </c>
      <c r="AM28" s="104">
        <f t="shared" si="57"/>
        <v>-54.876485967873457</v>
      </c>
    </row>
    <row r="29" spans="1:39" x14ac:dyDescent="0.3">
      <c r="A29" s="45" t="s">
        <v>148</v>
      </c>
      <c r="B29" s="51">
        <v>100</v>
      </c>
      <c r="C29" s="52">
        <f>C21/B21*B29</f>
        <v>96.664287930089614</v>
      </c>
      <c r="D29" s="52">
        <f t="shared" ref="D29:Z29" si="59">D21/C21*C29</f>
        <v>101.08136840631178</v>
      </c>
      <c r="E29" s="52">
        <f t="shared" si="59"/>
        <v>102.44650096414183</v>
      </c>
      <c r="F29" s="52">
        <f t="shared" si="59"/>
        <v>124.53913551609915</v>
      </c>
      <c r="G29" s="52">
        <f t="shared" si="59"/>
        <v>131.59701381198553</v>
      </c>
      <c r="H29" s="52">
        <f t="shared" si="59"/>
        <v>134.36896939640138</v>
      </c>
      <c r="I29" s="52">
        <f t="shared" si="59"/>
        <v>134.79198279445967</v>
      </c>
      <c r="J29" s="52">
        <f t="shared" si="59"/>
        <v>127.52547370331114</v>
      </c>
      <c r="K29" s="52">
        <f t="shared" si="59"/>
        <v>125.85195478909115</v>
      </c>
      <c r="L29" s="52">
        <f t="shared" si="59"/>
        <v>144.72136123086696</v>
      </c>
      <c r="M29" s="52">
        <f t="shared" si="59"/>
        <v>145.64297254869066</v>
      </c>
      <c r="N29" s="52">
        <f t="shared" si="59"/>
        <v>149.79322748107481</v>
      </c>
      <c r="O29" s="52">
        <f t="shared" si="59"/>
        <v>154.98178923809766</v>
      </c>
      <c r="P29" s="52">
        <f t="shared" si="59"/>
        <v>156.15098291559687</v>
      </c>
      <c r="Q29" s="52">
        <f t="shared" si="59"/>
        <v>101.61694492908573</v>
      </c>
      <c r="R29" s="52">
        <f t="shared" si="59"/>
        <v>106.48900856234451</v>
      </c>
      <c r="S29" s="52">
        <f t="shared" si="59"/>
        <v>124.61651615769819</v>
      </c>
      <c r="T29" s="52">
        <f t="shared" si="59"/>
        <v>122.47213778195017</v>
      </c>
      <c r="U29" s="52">
        <f t="shared" si="59"/>
        <v>129.03036306861091</v>
      </c>
      <c r="V29" s="52">
        <f t="shared" si="59"/>
        <v>167.29120177648596</v>
      </c>
      <c r="W29" s="52">
        <f t="shared" si="59"/>
        <v>151.53617019375602</v>
      </c>
      <c r="X29" s="52">
        <f t="shared" si="59"/>
        <v>137.83813877235437</v>
      </c>
      <c r="Y29" s="52">
        <f t="shared" si="59"/>
        <v>144.58451185825652</v>
      </c>
      <c r="Z29" s="52">
        <f t="shared" si="59"/>
        <v>148.19705400400338</v>
      </c>
      <c r="AB29" s="47">
        <f>I29-B29</f>
        <v>34.79198279445967</v>
      </c>
      <c r="AC29" s="94">
        <f>K29-I29</f>
        <v>-8.9400280053685179</v>
      </c>
      <c r="AD29" s="47">
        <f>P29-K29</f>
        <v>30.299028126505718</v>
      </c>
      <c r="AE29" s="94">
        <f>Q29-P29</f>
        <v>-54.534037986511137</v>
      </c>
      <c r="AF29" s="47">
        <f>U29-Q29</f>
        <v>27.413418139525177</v>
      </c>
      <c r="AG29" s="47">
        <f>V29-U29</f>
        <v>38.260838707875052</v>
      </c>
      <c r="AH29" s="94">
        <f>X29-V29</f>
        <v>-29.453063004131593</v>
      </c>
      <c r="AI29" s="47">
        <f>X29-U29</f>
        <v>8.8077757037434594</v>
      </c>
      <c r="AJ29" s="47">
        <f>Z29-X29</f>
        <v>10.358915231649007</v>
      </c>
      <c r="AK29" s="47">
        <f>Z29-B29</f>
        <v>48.197054004003377</v>
      </c>
      <c r="AM29" s="104">
        <f t="shared" si="57"/>
        <v>42.138010894114686</v>
      </c>
    </row>
    <row r="31" spans="1:39" x14ac:dyDescent="0.3">
      <c r="A31" t="s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89DFA-B670-46A1-BEBF-A6914B407ED1}">
  <dimension ref="A1"/>
  <sheetViews>
    <sheetView topLeftCell="A50" zoomScale="120" zoomScaleNormal="120" workbookViewId="0">
      <selection activeCell="AK26" sqref="AK2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86003-766C-4AD3-919A-263124FDC761}">
  <dimension ref="A1:AI124"/>
  <sheetViews>
    <sheetView workbookViewId="0">
      <selection activeCell="B4" sqref="B4"/>
    </sheetView>
  </sheetViews>
  <sheetFormatPr defaultColWidth="9.109375" defaultRowHeight="14.4" x14ac:dyDescent="0.3"/>
  <cols>
    <col min="1" max="1" width="38.33203125" style="70" bestFit="1" customWidth="1"/>
    <col min="2" max="3" width="11.88671875" style="70" bestFit="1" customWidth="1"/>
    <col min="4" max="4" width="11.6640625" style="70" bestFit="1" customWidth="1"/>
    <col min="5" max="11" width="11.88671875" style="70" bestFit="1" customWidth="1"/>
    <col min="12" max="12" width="14.33203125" style="70" bestFit="1" customWidth="1"/>
    <col min="13" max="18" width="11.88671875" style="70" bestFit="1" customWidth="1"/>
    <col min="19" max="21" width="13.6640625" style="70" bestFit="1" customWidth="1"/>
    <col min="22" max="25" width="11.6640625" style="70" bestFit="1" customWidth="1"/>
    <col min="26" max="26" width="11.6640625" style="70" customWidth="1"/>
    <col min="27" max="27" width="11.44140625" style="70" bestFit="1" customWidth="1"/>
    <col min="28" max="28" width="11.44140625" style="70" customWidth="1"/>
    <col min="29" max="30" width="9.6640625" style="70" bestFit="1" customWidth="1"/>
    <col min="31" max="32" width="9.6640625" style="70" customWidth="1"/>
    <col min="33" max="33" width="9.6640625" style="70" bestFit="1" customWidth="1"/>
    <col min="34" max="34" width="9.6640625" style="70" customWidth="1"/>
    <col min="35" max="35" width="10.5546875" style="70" bestFit="1" customWidth="1"/>
    <col min="36" max="16384" width="9.109375" style="70"/>
  </cols>
  <sheetData>
    <row r="1" spans="1:35" s="68" customFormat="1" x14ac:dyDescent="0.3">
      <c r="A1" s="68" t="s">
        <v>139</v>
      </c>
      <c r="B1" s="68">
        <v>2003</v>
      </c>
      <c r="C1" s="68">
        <v>2004</v>
      </c>
      <c r="D1" s="68">
        <v>2005</v>
      </c>
      <c r="E1" s="68">
        <v>2006</v>
      </c>
      <c r="F1" s="68">
        <v>2007</v>
      </c>
      <c r="G1" s="68">
        <v>2008</v>
      </c>
      <c r="H1" s="68">
        <v>2009</v>
      </c>
      <c r="I1" s="68">
        <v>2010</v>
      </c>
      <c r="J1" s="68">
        <v>2011</v>
      </c>
      <c r="K1" s="68">
        <v>2012</v>
      </c>
      <c r="L1" s="68">
        <v>2013</v>
      </c>
      <c r="M1" s="68">
        <v>2014</v>
      </c>
      <c r="N1" s="68">
        <v>2015</v>
      </c>
      <c r="O1" s="68">
        <v>2016</v>
      </c>
      <c r="P1" s="68">
        <v>2017</v>
      </c>
      <c r="Q1" s="68">
        <v>2018</v>
      </c>
      <c r="R1" s="68">
        <v>2019</v>
      </c>
      <c r="S1" s="68">
        <v>2020</v>
      </c>
      <c r="T1" s="68">
        <v>2021</v>
      </c>
      <c r="U1" s="68">
        <v>2022</v>
      </c>
      <c r="V1" s="68">
        <v>2023</v>
      </c>
      <c r="W1" s="68">
        <v>2024</v>
      </c>
      <c r="X1" s="68">
        <v>2025</v>
      </c>
    </row>
    <row r="2" spans="1:35" x14ac:dyDescent="0.3">
      <c r="A2" s="68" t="s">
        <v>261</v>
      </c>
      <c r="B2" s="102">
        <v>81.454769500000012</v>
      </c>
      <c r="C2" s="102">
        <v>82.780578500000004</v>
      </c>
      <c r="D2" s="102">
        <v>84.575818500000011</v>
      </c>
      <c r="E2" s="102">
        <v>86.071289999999991</v>
      </c>
      <c r="F2" s="102">
        <v>87.592049999999986</v>
      </c>
      <c r="G2" s="102">
        <v>91.291139999999984</v>
      </c>
      <c r="H2" s="102">
        <v>91.828649999999996</v>
      </c>
      <c r="I2" s="102">
        <v>93.364590000000007</v>
      </c>
      <c r="J2" s="102">
        <v>96.221189999999993</v>
      </c>
      <c r="K2" s="102">
        <v>98.770050000000012</v>
      </c>
      <c r="L2" s="102">
        <v>99.996179999999981</v>
      </c>
      <c r="M2" s="102">
        <v>100.40083333333335</v>
      </c>
      <c r="N2" s="102">
        <v>101.45416666666667</v>
      </c>
      <c r="O2" s="102">
        <v>103.57666666666665</v>
      </c>
      <c r="P2" s="102">
        <v>105.48833333333333</v>
      </c>
      <c r="Q2" s="102">
        <v>107.35083333333334</v>
      </c>
      <c r="R2" s="102">
        <v>108.92416666666666</v>
      </c>
      <c r="S2" s="102">
        <v>109.99666666666667</v>
      </c>
      <c r="T2" s="102">
        <v>112.20666666666666</v>
      </c>
      <c r="U2" s="102">
        <v>122.58833333333337</v>
      </c>
      <c r="V2" s="102">
        <v>127.895</v>
      </c>
      <c r="W2" s="102">
        <v>132.09833333333333</v>
      </c>
    </row>
    <row r="3" spans="1:35" x14ac:dyDescent="0.3">
      <c r="A3" s="68" t="s">
        <v>262</v>
      </c>
      <c r="B3" s="69">
        <f>(B2/$W$2)*100</f>
        <v>61.662223469889867</v>
      </c>
      <c r="C3" s="69">
        <f t="shared" ref="C3:U3" si="0">(C2/$W$2)*100</f>
        <v>62.665876556605561</v>
      </c>
      <c r="D3" s="69">
        <f t="shared" si="0"/>
        <v>64.024894459935155</v>
      </c>
      <c r="E3" s="69">
        <f t="shared" si="0"/>
        <v>65.156984064901152</v>
      </c>
      <c r="F3" s="69">
        <f t="shared" si="0"/>
        <v>66.308217363327813</v>
      </c>
      <c r="G3" s="69">
        <f t="shared" si="0"/>
        <v>69.108472223974559</v>
      </c>
      <c r="H3" s="69">
        <f t="shared" si="0"/>
        <v>69.515373648418475</v>
      </c>
      <c r="I3" s="69">
        <f t="shared" si="0"/>
        <v>70.678098386303148</v>
      </c>
      <c r="J3" s="69">
        <f t="shared" si="0"/>
        <v>72.840578357032001</v>
      </c>
      <c r="K3" s="69">
        <f t="shared" si="0"/>
        <v>74.770095509658219</v>
      </c>
      <c r="L3" s="69">
        <f t="shared" si="0"/>
        <v>75.698290414968639</v>
      </c>
      <c r="M3" s="69">
        <f t="shared" si="0"/>
        <v>76.00461777211423</v>
      </c>
      <c r="N3" s="69">
        <f t="shared" si="0"/>
        <v>76.802003557955572</v>
      </c>
      <c r="O3" s="69">
        <f t="shared" si="0"/>
        <v>78.408761150153282</v>
      </c>
      <c r="P3" s="69">
        <f t="shared" si="0"/>
        <v>79.855915416545756</v>
      </c>
      <c r="Q3" s="69">
        <f t="shared" si="0"/>
        <v>81.265849935023155</v>
      </c>
      <c r="R3" s="69">
        <f t="shared" si="0"/>
        <v>82.456881868305175</v>
      </c>
      <c r="S3" s="69">
        <f t="shared" si="0"/>
        <v>83.268777047401571</v>
      </c>
      <c r="T3" s="69">
        <f t="shared" si="0"/>
        <v>84.941773174024405</v>
      </c>
      <c r="U3" s="69">
        <f t="shared" si="0"/>
        <v>92.800817572767784</v>
      </c>
      <c r="V3" s="69">
        <f>(V2/$W$2)*100</f>
        <v>96.81802697485459</v>
      </c>
      <c r="W3" s="69">
        <f>W2/$W$2*100</f>
        <v>100</v>
      </c>
    </row>
    <row r="4" spans="1:35" x14ac:dyDescent="0.3">
      <c r="A4" s="71" t="s">
        <v>228</v>
      </c>
      <c r="B4" s="72">
        <f t="shared" ref="B4:V4" si="1">$W$3/B3</f>
        <v>1.6217384708618359</v>
      </c>
      <c r="C4" s="72">
        <f t="shared" si="1"/>
        <v>1.5957648004759151</v>
      </c>
      <c r="D4" s="72">
        <f t="shared" si="1"/>
        <v>1.5618924614171286</v>
      </c>
      <c r="E4" s="72">
        <f t="shared" si="1"/>
        <v>1.5347548913619551</v>
      </c>
      <c r="F4" s="72">
        <f t="shared" si="1"/>
        <v>1.5081087077347015</v>
      </c>
      <c r="G4" s="72">
        <f t="shared" si="1"/>
        <v>1.4470005888121602</v>
      </c>
      <c r="H4" s="72">
        <f t="shared" si="1"/>
        <v>1.438530712727818</v>
      </c>
      <c r="I4" s="72">
        <f t="shared" si="1"/>
        <v>1.4148654573787911</v>
      </c>
      <c r="J4" s="72">
        <f t="shared" si="1"/>
        <v>1.3728611476675081</v>
      </c>
      <c r="K4" s="72">
        <f t="shared" si="1"/>
        <v>1.3374330916440087</v>
      </c>
      <c r="L4" s="72">
        <f t="shared" si="1"/>
        <v>1.3210337968243722</v>
      </c>
      <c r="M4" s="72">
        <f t="shared" si="1"/>
        <v>1.3157095309633879</v>
      </c>
      <c r="N4" s="72">
        <f t="shared" si="1"/>
        <v>1.3020493654770215</v>
      </c>
      <c r="O4" s="72">
        <f t="shared" si="1"/>
        <v>1.2753676825539859</v>
      </c>
      <c r="P4" s="72">
        <f t="shared" si="1"/>
        <v>1.2522553836917194</v>
      </c>
      <c r="Q4" s="72">
        <f t="shared" si="1"/>
        <v>1.2305291839063506</v>
      </c>
      <c r="R4" s="72">
        <f t="shared" si="1"/>
        <v>1.2127550512971563</v>
      </c>
      <c r="S4" s="72">
        <f t="shared" si="1"/>
        <v>1.200930331222158</v>
      </c>
      <c r="T4" s="72">
        <f t="shared" si="1"/>
        <v>1.1772770483037251</v>
      </c>
      <c r="U4" s="72">
        <f t="shared" si="1"/>
        <v>1.0775767133903442</v>
      </c>
      <c r="V4" s="72">
        <f t="shared" si="1"/>
        <v>1.0328655016484878</v>
      </c>
      <c r="W4" s="72">
        <f>$W$3/W3</f>
        <v>1</v>
      </c>
    </row>
    <row r="5" spans="1:35" x14ac:dyDescent="0.3">
      <c r="A5" s="68" t="s">
        <v>125</v>
      </c>
    </row>
    <row r="6" spans="1:35" x14ac:dyDescent="0.3">
      <c r="A6" s="70" t="s">
        <v>226</v>
      </c>
      <c r="B6" s="70">
        <f>'Oplijsting (sub)categorieën KSZ'!C17</f>
        <v>719122</v>
      </c>
      <c r="C6" s="70">
        <f>'Oplijsting (sub)categorieën KSZ'!D17</f>
        <v>717465</v>
      </c>
      <c r="D6" s="70">
        <f>'Oplijsting (sub)categorieën KSZ'!E17</f>
        <v>719042</v>
      </c>
      <c r="E6" s="70">
        <f>'Oplijsting (sub)categorieën KSZ'!F17</f>
        <v>725720</v>
      </c>
      <c r="F6" s="70">
        <f>'Oplijsting (sub)categorieën KSZ'!G17</f>
        <v>739033</v>
      </c>
      <c r="G6" s="70">
        <f>'Oplijsting (sub)categorieën KSZ'!H17</f>
        <v>750095</v>
      </c>
      <c r="H6" s="70">
        <f>'Oplijsting (sub)categorieën KSZ'!I17</f>
        <v>755876</v>
      </c>
      <c r="I6" s="70">
        <f>'Oplijsting (sub)categorieën KSZ'!J17</f>
        <v>765986</v>
      </c>
      <c r="J6" s="70">
        <f>'Oplijsting (sub)categorieën KSZ'!K17</f>
        <v>776292</v>
      </c>
      <c r="K6" s="70">
        <f>'Oplijsting (sub)categorieën KSZ'!L17</f>
        <v>788233</v>
      </c>
      <c r="L6" s="70">
        <f>'Oplijsting (sub)categorieën KSZ'!M17</f>
        <v>795921</v>
      </c>
      <c r="M6" s="70">
        <f>'Oplijsting (sub)categorieën KSZ'!N17</f>
        <v>805537</v>
      </c>
      <c r="N6" s="70">
        <f>'Oplijsting (sub)categorieën KSZ'!O17</f>
        <v>821343</v>
      </c>
      <c r="O6" s="70">
        <f>'Oplijsting (sub)categorieën KSZ'!P17</f>
        <v>836088</v>
      </c>
      <c r="P6" s="70">
        <f>'Oplijsting (sub)categorieën KSZ'!Q17</f>
        <v>854642</v>
      </c>
      <c r="Q6" s="70">
        <f>'Oplijsting (sub)categorieën KSZ'!R17</f>
        <v>869922</v>
      </c>
      <c r="R6" s="70">
        <f>'Oplijsting (sub)categorieën KSZ'!S17</f>
        <v>890004</v>
      </c>
      <c r="S6" s="70">
        <f>'Oplijsting (sub)categorieën KSZ'!T17</f>
        <v>916316</v>
      </c>
      <c r="T6" s="70">
        <f>'Oplijsting (sub)categorieën KSZ'!U17</f>
        <v>945661</v>
      </c>
      <c r="U6" s="70">
        <f>'Oplijsting (sub)categorieën KSZ'!V17</f>
        <v>960661</v>
      </c>
      <c r="V6" s="70">
        <f>'Oplijsting (sub)categorieën KSZ'!W17</f>
        <v>945199</v>
      </c>
    </row>
    <row r="7" spans="1:35" x14ac:dyDescent="0.3">
      <c r="A7" s="70" t="s">
        <v>227</v>
      </c>
      <c r="B7" s="70">
        <f>'Oplijsting (sub)categorieën KSZ'!C18</f>
        <v>853157</v>
      </c>
      <c r="C7" s="70">
        <f>'Oplijsting (sub)categorieën KSZ'!D18</f>
        <v>856519</v>
      </c>
      <c r="D7" s="70">
        <f>'Oplijsting (sub)categorieën KSZ'!E18</f>
        <v>863572</v>
      </c>
      <c r="E7" s="70">
        <f>'Oplijsting (sub)categorieën KSZ'!F18</f>
        <v>877436</v>
      </c>
      <c r="F7" s="70">
        <f>'Oplijsting (sub)categorieën KSZ'!G18</f>
        <v>901280</v>
      </c>
      <c r="G7" s="70">
        <f>'Oplijsting (sub)categorieën KSZ'!H18</f>
        <v>920415</v>
      </c>
      <c r="H7" s="70">
        <f>'Oplijsting (sub)categorieën KSZ'!I18</f>
        <v>930560</v>
      </c>
      <c r="I7" s="70">
        <f>'Oplijsting (sub)categorieën KSZ'!J18</f>
        <v>948805</v>
      </c>
      <c r="J7" s="70">
        <f>'Oplijsting (sub)categorieën KSZ'!K18</f>
        <v>965752</v>
      </c>
      <c r="K7" s="70">
        <f>'Oplijsting (sub)categorieën KSZ'!L18</f>
        <v>984354</v>
      </c>
      <c r="L7" s="70">
        <f>'Oplijsting (sub)categorieën KSZ'!M18</f>
        <v>996415</v>
      </c>
      <c r="M7" s="70">
        <f>'Oplijsting (sub)categorieën KSZ'!N18</f>
        <v>1010704</v>
      </c>
      <c r="N7" s="70">
        <f>'Oplijsting (sub)categorieën KSZ'!O18</f>
        <v>1030641</v>
      </c>
      <c r="O7" s="70">
        <f>'Oplijsting (sub)categorieën KSZ'!P18</f>
        <v>1052469</v>
      </c>
      <c r="P7" s="70">
        <f>'Oplijsting (sub)categorieën KSZ'!Q18</f>
        <v>1081567</v>
      </c>
      <c r="Q7" s="70">
        <f>'Oplijsting (sub)categorieën KSZ'!R18</f>
        <v>1106330</v>
      </c>
      <c r="R7" s="70">
        <f>'Oplijsting (sub)categorieën KSZ'!S18</f>
        <v>1137274</v>
      </c>
      <c r="S7" s="70">
        <f>'Oplijsting (sub)categorieën KSZ'!T18</f>
        <v>1177227</v>
      </c>
      <c r="T7" s="70">
        <f>'Oplijsting (sub)categorieën KSZ'!U18</f>
        <v>1223537</v>
      </c>
      <c r="U7" s="70">
        <f>'Oplijsting (sub)categorieën KSZ'!V18</f>
        <v>1249134</v>
      </c>
      <c r="V7" s="70">
        <f>'Oplijsting (sub)categorieën KSZ'!W18</f>
        <v>1241323</v>
      </c>
    </row>
    <row r="8" spans="1:35" x14ac:dyDescent="0.3">
      <c r="A8" s="70" t="s">
        <v>128</v>
      </c>
      <c r="B8" s="73">
        <v>2362746.48025</v>
      </c>
      <c r="C8" s="73">
        <v>2467975.5851400001</v>
      </c>
      <c r="D8" s="73">
        <v>2601500.7740000002</v>
      </c>
      <c r="E8" s="73">
        <v>2737094.7147400002</v>
      </c>
      <c r="F8" s="73">
        <v>2854576.0869999998</v>
      </c>
      <c r="G8" s="73">
        <v>3244981.3161300002</v>
      </c>
      <c r="H8" s="73">
        <v>3415331.3369999998</v>
      </c>
      <c r="I8" s="73">
        <v>3535058.1069999998</v>
      </c>
      <c r="J8" s="73">
        <v>3602228.1985100009</v>
      </c>
      <c r="K8" s="73">
        <v>3746647.8769999999</v>
      </c>
      <c r="L8" s="73">
        <v>3917483.76456</v>
      </c>
      <c r="M8" s="73">
        <v>3941423.68</v>
      </c>
      <c r="N8" s="73">
        <v>4194116.5819999999</v>
      </c>
      <c r="O8" s="73">
        <v>4301696.9350000015</v>
      </c>
      <c r="P8" s="73">
        <v>4390940.6260000002</v>
      </c>
      <c r="Q8" s="73">
        <v>4485777.8210000005</v>
      </c>
      <c r="R8" s="73">
        <v>4567854.7340000002</v>
      </c>
      <c r="S8" s="73">
        <v>4257700.3496300001</v>
      </c>
      <c r="T8" s="73">
        <v>4676583.5878300024</v>
      </c>
      <c r="U8" s="73">
        <v>4843640.8536499999</v>
      </c>
      <c r="V8" s="73">
        <v>5333723.8682099991</v>
      </c>
      <c r="W8" s="73">
        <v>5627778.5003399989</v>
      </c>
      <c r="X8" s="73">
        <v>5751656.1980000008</v>
      </c>
    </row>
    <row r="9" spans="1:35" x14ac:dyDescent="0.3">
      <c r="A9" s="70" t="s">
        <v>127</v>
      </c>
      <c r="B9" s="73">
        <v>3664626.77605</v>
      </c>
      <c r="C9" s="73">
        <v>3920038.393660001</v>
      </c>
      <c r="D9" s="73">
        <v>4073959.2503599999</v>
      </c>
      <c r="E9" s="73">
        <v>4327686.0560799995</v>
      </c>
      <c r="F9" s="73">
        <v>4522043.5297600003</v>
      </c>
      <c r="G9" s="73">
        <v>5204101.9294211064</v>
      </c>
      <c r="H9" s="73">
        <v>5551179.3286812399</v>
      </c>
      <c r="I9" s="73">
        <v>5857141.8666507415</v>
      </c>
      <c r="J9" s="73">
        <v>6175800.9191399999</v>
      </c>
      <c r="K9" s="73">
        <v>6246251.4651899999</v>
      </c>
      <c r="L9" s="73">
        <v>6496362.7397800004</v>
      </c>
      <c r="M9" s="73">
        <v>6775370.6100000003</v>
      </c>
      <c r="N9" s="73">
        <v>6064990.466</v>
      </c>
      <c r="O9" s="73">
        <v>6139008.7140506227</v>
      </c>
      <c r="P9" s="73">
        <v>6679802.9480000008</v>
      </c>
      <c r="Q9" s="73">
        <v>6936231.2149999999</v>
      </c>
      <c r="R9" s="73">
        <v>7194559.6290000007</v>
      </c>
      <c r="S9" s="73">
        <v>10831756.277240001</v>
      </c>
      <c r="T9" s="73">
        <v>9855311.198663421</v>
      </c>
      <c r="U9" s="73">
        <v>9500092.4459131602</v>
      </c>
      <c r="V9" s="73">
        <v>9331502.0074200016</v>
      </c>
      <c r="W9" s="73">
        <v>10364347.803117545</v>
      </c>
      <c r="X9" s="73">
        <v>10962656.680808512</v>
      </c>
    </row>
    <row r="10" spans="1:35" x14ac:dyDescent="0.3">
      <c r="A10" s="74" t="s">
        <v>129</v>
      </c>
    </row>
    <row r="11" spans="1:35" x14ac:dyDescent="0.3">
      <c r="A11" s="70" t="s">
        <v>128</v>
      </c>
      <c r="B11" s="70">
        <f>B8*B4</f>
        <v>3831756.8639148199</v>
      </c>
      <c r="C11" s="70">
        <f t="shared" ref="C11:V11" si="2">C8*C4</f>
        <v>3938308.5672003622</v>
      </c>
      <c r="D11" s="70">
        <f t="shared" si="2"/>
        <v>4063264.4472814254</v>
      </c>
      <c r="E11" s="70">
        <f t="shared" si="2"/>
        <v>4200769.5015681703</v>
      </c>
      <c r="F11" s="70">
        <f t="shared" si="2"/>
        <v>4305011.0536959507</v>
      </c>
      <c r="G11" s="70">
        <f t="shared" si="2"/>
        <v>4695489.8751245691</v>
      </c>
      <c r="H11" s="70">
        <f t="shared" si="2"/>
        <v>4913059.022416261</v>
      </c>
      <c r="I11" s="70">
        <f t="shared" si="2"/>
        <v>5001631.6054211585</v>
      </c>
      <c r="J11" s="70">
        <f t="shared" si="2"/>
        <v>4945359.1387667004</v>
      </c>
      <c r="K11" s="70">
        <f t="shared" si="2"/>
        <v>5010890.8534375718</v>
      </c>
      <c r="L11" s="70">
        <f t="shared" si="2"/>
        <v>5175128.4514945317</v>
      </c>
      <c r="M11" s="70">
        <f t="shared" si="2"/>
        <v>5185768.7013407908</v>
      </c>
      <c r="N11" s="70">
        <f t="shared" si="2"/>
        <v>5460946.8343297541</v>
      </c>
      <c r="O11" s="70">
        <f t="shared" si="2"/>
        <v>5486245.251040536</v>
      </c>
      <c r="P11" s="70">
        <f t="shared" si="2"/>
        <v>5498579.0383791886</v>
      </c>
      <c r="Q11" s="70">
        <f t="shared" si="2"/>
        <v>5519880.5212603379</v>
      </c>
      <c r="R11" s="70">
        <f t="shared" si="2"/>
        <v>5539688.9022501288</v>
      </c>
      <c r="S11" s="70">
        <f t="shared" si="2"/>
        <v>5113201.4911258537</v>
      </c>
      <c r="T11" s="70">
        <f t="shared" si="2"/>
        <v>5505634.5224261498</v>
      </c>
      <c r="U11" s="70">
        <f t="shared" si="2"/>
        <v>5219394.5919193681</v>
      </c>
      <c r="V11" s="70">
        <f t="shared" si="2"/>
        <v>5509019.3787932331</v>
      </c>
    </row>
    <row r="12" spans="1:35" x14ac:dyDescent="0.3">
      <c r="A12" s="70" t="s">
        <v>127</v>
      </c>
      <c r="B12" s="70">
        <f>B9*B4</f>
        <v>5943066.2240706664</v>
      </c>
      <c r="C12" s="70">
        <f t="shared" ref="C12:S12" si="3">C9*C4</f>
        <v>6255459.2851167778</v>
      </c>
      <c r="D12" s="70">
        <f t="shared" si="3"/>
        <v>6363086.2412578603</v>
      </c>
      <c r="E12" s="70">
        <f t="shared" si="3"/>
        <v>6641937.3428477077</v>
      </c>
      <c r="F12" s="70">
        <f t="shared" si="3"/>
        <v>6819733.2239864226</v>
      </c>
      <c r="G12" s="70">
        <f t="shared" si="3"/>
        <v>7530338.5561108403</v>
      </c>
      <c r="H12" s="70">
        <f t="shared" si="3"/>
        <v>7985541.9561677538</v>
      </c>
      <c r="I12" s="70">
        <f t="shared" si="3"/>
        <v>8287067.706091268</v>
      </c>
      <c r="J12" s="70">
        <f t="shared" si="3"/>
        <v>8478517.1376165915</v>
      </c>
      <c r="K12" s="70">
        <f t="shared" si="3"/>
        <v>8353943.4082749812</v>
      </c>
      <c r="L12" s="70">
        <f t="shared" si="3"/>
        <v>8581914.7356799543</v>
      </c>
      <c r="M12" s="70">
        <f t="shared" si="3"/>
        <v>8914419.687386224</v>
      </c>
      <c r="N12" s="70">
        <f t="shared" si="3"/>
        <v>7896916.9878794849</v>
      </c>
      <c r="O12" s="70">
        <f t="shared" si="3"/>
        <v>7829493.316817468</v>
      </c>
      <c r="P12" s="70">
        <f t="shared" si="3"/>
        <v>8364819.2036328195</v>
      </c>
      <c r="Q12" s="70">
        <f t="shared" si="3"/>
        <v>8535234.9363797046</v>
      </c>
      <c r="R12" s="70">
        <f t="shared" si="3"/>
        <v>8725238.5319283456</v>
      </c>
      <c r="S12" s="70">
        <f t="shared" si="3"/>
        <v>13008184.653743522</v>
      </c>
      <c r="T12" s="70">
        <f>T9*T4</f>
        <v>11602431.67807712</v>
      </c>
      <c r="U12" s="70">
        <f>U9*U4</f>
        <v>10237078.394771541</v>
      </c>
      <c r="V12" s="70">
        <f>V9*V4</f>
        <v>9638186.5020277314</v>
      </c>
    </row>
    <row r="13" spans="1:35" x14ac:dyDescent="0.3">
      <c r="A13" s="74" t="s">
        <v>229</v>
      </c>
    </row>
    <row r="14" spans="1:35" x14ac:dyDescent="0.3">
      <c r="A14" s="70" t="s">
        <v>128</v>
      </c>
      <c r="B14" s="70">
        <f>B11/B$6</f>
        <v>5.3283821992858238</v>
      </c>
      <c r="C14" s="70">
        <f t="shared" ref="C14:V15" si="4">C11/C$6</f>
        <v>5.489199566808642</v>
      </c>
      <c r="D14" s="70">
        <f t="shared" si="4"/>
        <v>5.650941735366537</v>
      </c>
      <c r="E14" s="70">
        <f t="shared" si="4"/>
        <v>5.7884163335283167</v>
      </c>
      <c r="F14" s="70">
        <f t="shared" si="4"/>
        <v>5.8251946174202649</v>
      </c>
      <c r="G14" s="70">
        <f t="shared" si="4"/>
        <v>6.2598602512009398</v>
      </c>
      <c r="H14" s="70">
        <f t="shared" si="4"/>
        <v>6.4998214289331333</v>
      </c>
      <c r="I14" s="70">
        <f t="shared" si="4"/>
        <v>6.5296645179169834</v>
      </c>
      <c r="J14" s="70">
        <f t="shared" si="4"/>
        <v>6.370488345579628</v>
      </c>
      <c r="K14" s="70">
        <f t="shared" si="4"/>
        <v>6.3571188385129416</v>
      </c>
      <c r="L14" s="70">
        <f t="shared" si="4"/>
        <v>6.5020629578746281</v>
      </c>
      <c r="M14" s="70">
        <f t="shared" si="4"/>
        <v>6.4376542621143296</v>
      </c>
      <c r="N14" s="70">
        <f t="shared" si="4"/>
        <v>6.6488018213216087</v>
      </c>
      <c r="O14" s="70">
        <f t="shared" si="4"/>
        <v>6.5618036032577143</v>
      </c>
      <c r="P14" s="70">
        <f t="shared" si="4"/>
        <v>6.4337805050292269</v>
      </c>
      <c r="Q14" s="70">
        <f t="shared" si="4"/>
        <v>6.3452591396244005</v>
      </c>
      <c r="R14" s="70">
        <f t="shared" si="4"/>
        <v>6.2243415785211402</v>
      </c>
      <c r="S14" s="70">
        <f t="shared" si="4"/>
        <v>5.5801726600057773</v>
      </c>
      <c r="T14" s="70">
        <f t="shared" si="4"/>
        <v>5.8219959609481089</v>
      </c>
      <c r="U14" s="70">
        <f>U11/U$6</f>
        <v>5.4331284312773898</v>
      </c>
      <c r="V14" s="70">
        <f>V11/V$6</f>
        <v>5.8284227753025899</v>
      </c>
    </row>
    <row r="15" spans="1:35" x14ac:dyDescent="0.3">
      <c r="A15" s="70" t="s">
        <v>127</v>
      </c>
      <c r="B15" s="70">
        <f>B12/B$6</f>
        <v>8.2643365438279819</v>
      </c>
      <c r="C15" s="70">
        <f t="shared" si="4"/>
        <v>8.718835462519813</v>
      </c>
      <c r="D15" s="70">
        <f t="shared" si="4"/>
        <v>8.8493943903942469</v>
      </c>
      <c r="E15" s="70">
        <f t="shared" si="4"/>
        <v>9.1522038015318685</v>
      </c>
      <c r="F15" s="70">
        <f t="shared" si="4"/>
        <v>9.2279143475141474</v>
      </c>
      <c r="G15" s="70">
        <f t="shared" si="4"/>
        <v>10.039179778709151</v>
      </c>
      <c r="H15" s="70">
        <f t="shared" si="4"/>
        <v>10.56461900651397</v>
      </c>
      <c r="I15" s="70">
        <f t="shared" si="4"/>
        <v>10.818823981236299</v>
      </c>
      <c r="J15" s="70">
        <f t="shared" si="4"/>
        <v>10.921814391513234</v>
      </c>
      <c r="K15" s="70">
        <f t="shared" si="4"/>
        <v>10.598317259331925</v>
      </c>
      <c r="L15" s="70">
        <f t="shared" si="4"/>
        <v>10.782370028784205</v>
      </c>
      <c r="M15" s="70">
        <f t="shared" si="4"/>
        <v>11.066431073167619</v>
      </c>
      <c r="N15" s="70">
        <f t="shared" si="4"/>
        <v>9.614639666837709</v>
      </c>
      <c r="O15" s="70">
        <f t="shared" si="4"/>
        <v>9.3644368975723467</v>
      </c>
      <c r="P15" s="70">
        <f t="shared" si="4"/>
        <v>9.7875124363567672</v>
      </c>
      <c r="Q15" s="70">
        <f t="shared" si="4"/>
        <v>9.8114945206348434</v>
      </c>
      <c r="R15" s="70">
        <f t="shared" si="4"/>
        <v>9.8035947388195392</v>
      </c>
      <c r="S15" s="70">
        <f t="shared" si="4"/>
        <v>14.196177578197393</v>
      </c>
      <c r="T15" s="70">
        <f>T12/T$6</f>
        <v>12.269123584537292</v>
      </c>
      <c r="U15" s="70">
        <f t="shared" si="4"/>
        <v>10.6562860309428</v>
      </c>
      <c r="V15" s="70">
        <f t="shared" si="4"/>
        <v>10.196991852538705</v>
      </c>
      <c r="X15" s="69"/>
    </row>
    <row r="16" spans="1:35" x14ac:dyDescent="0.3">
      <c r="A16" s="74" t="s">
        <v>131</v>
      </c>
      <c r="Y16" s="71" t="s">
        <v>235</v>
      </c>
      <c r="Z16" s="68" t="s">
        <v>238</v>
      </c>
      <c r="AA16" s="68" t="s">
        <v>236</v>
      </c>
      <c r="AB16" s="71" t="s">
        <v>239</v>
      </c>
      <c r="AC16" s="68" t="s">
        <v>237</v>
      </c>
      <c r="AD16" s="68" t="s">
        <v>242</v>
      </c>
      <c r="AE16" s="90" t="s">
        <v>243</v>
      </c>
      <c r="AF16" s="71" t="s">
        <v>244</v>
      </c>
      <c r="AG16" s="68" t="s">
        <v>240</v>
      </c>
      <c r="AH16" s="90" t="s">
        <v>245</v>
      </c>
      <c r="AI16" s="71" t="s">
        <v>241</v>
      </c>
    </row>
    <row r="17" spans="1:35" x14ac:dyDescent="0.3">
      <c r="A17" s="70" t="s">
        <v>126</v>
      </c>
      <c r="B17" s="70">
        <v>100</v>
      </c>
      <c r="C17" s="69">
        <f>C6/B6*B17</f>
        <v>99.769580126876946</v>
      </c>
      <c r="D17" s="69">
        <f t="shared" ref="D17:V17" si="5">D6/C6*C17</f>
        <v>99.988875322963295</v>
      </c>
      <c r="E17" s="69">
        <f t="shared" si="5"/>
        <v>100.91750773860348</v>
      </c>
      <c r="F17" s="69">
        <f t="shared" si="5"/>
        <v>102.7687930559766</v>
      </c>
      <c r="G17" s="69">
        <f t="shared" si="5"/>
        <v>104.30705777322903</v>
      </c>
      <c r="H17" s="69">
        <f t="shared" si="5"/>
        <v>105.110954747595</v>
      </c>
      <c r="I17" s="69">
        <f t="shared" si="5"/>
        <v>106.51683580811046</v>
      </c>
      <c r="J17" s="69">
        <f t="shared" si="5"/>
        <v>107.9499723273659</v>
      </c>
      <c r="K17" s="69">
        <f t="shared" si="5"/>
        <v>109.61046943355927</v>
      </c>
      <c r="L17" s="69">
        <f t="shared" si="5"/>
        <v>110.67955089678804</v>
      </c>
      <c r="M17" s="69">
        <f t="shared" si="5"/>
        <v>112.01673707660177</v>
      </c>
      <c r="N17" s="69">
        <f t="shared" si="5"/>
        <v>114.21469514213169</v>
      </c>
      <c r="O17" s="69">
        <f t="shared" si="5"/>
        <v>116.26511217846212</v>
      </c>
      <c r="P17" s="69">
        <f t="shared" si="5"/>
        <v>118.84520290020335</v>
      </c>
      <c r="Q17" s="69">
        <f t="shared" si="5"/>
        <v>120.97001621421683</v>
      </c>
      <c r="R17" s="69">
        <f t="shared" si="5"/>
        <v>123.7625882673594</v>
      </c>
      <c r="S17" s="69">
        <f t="shared" si="5"/>
        <v>127.42149454473653</v>
      </c>
      <c r="T17" s="69">
        <f t="shared" si="5"/>
        <v>131.50216514026832</v>
      </c>
      <c r="U17" s="69">
        <f t="shared" si="5"/>
        <v>133.5880420846533</v>
      </c>
      <c r="V17" s="69">
        <f t="shared" si="5"/>
        <v>131.43792013038129</v>
      </c>
      <c r="Y17" s="86"/>
      <c r="AB17" s="86"/>
      <c r="AE17" s="91"/>
      <c r="AF17" s="86"/>
      <c r="AH17" s="91"/>
      <c r="AI17" s="86"/>
    </row>
    <row r="18" spans="1:35" x14ac:dyDescent="0.3">
      <c r="A18" s="70" t="s">
        <v>128</v>
      </c>
      <c r="B18" s="70">
        <v>100</v>
      </c>
      <c r="C18" s="69">
        <f>C14/B14*B18</f>
        <v>103.01812748237866</v>
      </c>
      <c r="D18" s="69">
        <f t="shared" ref="D18:T18" si="6">D14/C14*C18</f>
        <v>106.05361109651531</v>
      </c>
      <c r="E18" s="69">
        <f t="shared" si="6"/>
        <v>108.63365496386787</v>
      </c>
      <c r="F18" s="69">
        <f t="shared" si="6"/>
        <v>109.32388855666227</v>
      </c>
      <c r="G18" s="69">
        <f t="shared" si="6"/>
        <v>117.481442154055</v>
      </c>
      <c r="H18" s="69">
        <f t="shared" si="6"/>
        <v>121.98489496125708</v>
      </c>
      <c r="I18" s="69">
        <f t="shared" si="6"/>
        <v>122.54497282105943</v>
      </c>
      <c r="J18" s="69">
        <f t="shared" si="6"/>
        <v>119.55764634213887</v>
      </c>
      <c r="K18" s="69">
        <f t="shared" si="6"/>
        <v>119.30673515434009</v>
      </c>
      <c r="L18" s="69">
        <f t="shared" si="6"/>
        <v>122.02696268195841</v>
      </c>
      <c r="M18" s="69">
        <f t="shared" si="6"/>
        <v>120.81817747565449</v>
      </c>
      <c r="N18" s="69">
        <f t="shared" si="6"/>
        <v>124.78087293011306</v>
      </c>
      <c r="O18" s="69">
        <f t="shared" si="6"/>
        <v>123.14814061456042</v>
      </c>
      <c r="P18" s="69">
        <f t="shared" si="6"/>
        <v>120.74547703975817</v>
      </c>
      <c r="Q18" s="69">
        <f t="shared" si="6"/>
        <v>119.0841591745215</v>
      </c>
      <c r="R18" s="69">
        <f t="shared" si="6"/>
        <v>116.81484821707053</v>
      </c>
      <c r="S18" s="69">
        <f t="shared" si="6"/>
        <v>104.72545795895988</v>
      </c>
      <c r="T18" s="69">
        <f t="shared" si="6"/>
        <v>109.26385801920225</v>
      </c>
      <c r="U18" s="69">
        <f>U14/T14*T18</f>
        <v>101.96581679155082</v>
      </c>
      <c r="V18" s="69">
        <f>V14/U14*U18</f>
        <v>109.38447275955143</v>
      </c>
      <c r="Y18" s="89">
        <f>M18-B18</f>
        <v>20.818177475654494</v>
      </c>
      <c r="Z18" s="69">
        <f>N18-M18</f>
        <v>3.9626954544585686</v>
      </c>
      <c r="AA18" s="69">
        <f>R18-N18</f>
        <v>-7.966024713042529</v>
      </c>
      <c r="AB18" s="89">
        <f>R18-B18</f>
        <v>16.814848217070534</v>
      </c>
      <c r="AC18" s="69">
        <f>S18-R18</f>
        <v>-12.089390258110654</v>
      </c>
      <c r="AD18" s="69">
        <f>U18-S18</f>
        <v>-2.7596411674090575</v>
      </c>
      <c r="AE18" s="92">
        <f>U18-R18</f>
        <v>-14.849031425519712</v>
      </c>
      <c r="AF18" s="89">
        <f>U18-B18</f>
        <v>1.9658167915508216</v>
      </c>
      <c r="AG18" s="69">
        <f>V18-U18</f>
        <v>7.418655968000607</v>
      </c>
      <c r="AH18" s="92">
        <f>V18-R18</f>
        <v>-7.430375457519105</v>
      </c>
      <c r="AI18" s="88">
        <f>(V18-B18)</f>
        <v>9.3844727595514286</v>
      </c>
    </row>
    <row r="19" spans="1:35" x14ac:dyDescent="0.3">
      <c r="A19" s="70" t="s">
        <v>127</v>
      </c>
      <c r="B19" s="70">
        <v>100</v>
      </c>
      <c r="C19" s="69">
        <f t="shared" ref="C19:S19" si="7">C15/B15*B19</f>
        <v>105.49952093893444</v>
      </c>
      <c r="D19" s="69">
        <f t="shared" si="7"/>
        <v>107.07930810251429</v>
      </c>
      <c r="E19" s="69">
        <f t="shared" si="7"/>
        <v>110.74335795735433</v>
      </c>
      <c r="F19" s="69">
        <f t="shared" si="7"/>
        <v>111.65946956027327</v>
      </c>
      <c r="G19" s="69">
        <f t="shared" si="7"/>
        <v>121.47593125556661</v>
      </c>
      <c r="H19" s="69">
        <f t="shared" si="7"/>
        <v>127.83384304943264</v>
      </c>
      <c r="I19" s="69">
        <f t="shared" si="7"/>
        <v>130.9097702381938</v>
      </c>
      <c r="J19" s="69">
        <f t="shared" si="7"/>
        <v>132.15597324227946</v>
      </c>
      <c r="K19" s="69">
        <f t="shared" si="7"/>
        <v>128.24159813829237</v>
      </c>
      <c r="L19" s="69">
        <f t="shared" si="7"/>
        <v>130.46867067431751</v>
      </c>
      <c r="M19" s="69">
        <f t="shared" si="7"/>
        <v>133.9058618254397</v>
      </c>
      <c r="N19" s="69">
        <f t="shared" si="7"/>
        <v>116.33891741761371</v>
      </c>
      <c r="O19" s="69">
        <f t="shared" si="7"/>
        <v>113.31141765476561</v>
      </c>
      <c r="P19" s="69">
        <f t="shared" si="7"/>
        <v>118.43070988761137</v>
      </c>
      <c r="Q19" s="69">
        <f t="shared" si="7"/>
        <v>118.72089754092016</v>
      </c>
      <c r="R19" s="69">
        <f t="shared" si="7"/>
        <v>118.62530872053017</v>
      </c>
      <c r="S19" s="69">
        <f t="shared" si="7"/>
        <v>171.77637312942511</v>
      </c>
      <c r="T19" s="69">
        <f>T15/S15*S19</f>
        <v>148.45866355358174</v>
      </c>
      <c r="U19" s="69">
        <f>U15/T15*T19</f>
        <v>128.94303099141317</v>
      </c>
      <c r="V19" s="69">
        <f>V15/U15*U19</f>
        <v>123.38548652346543</v>
      </c>
      <c r="Y19" s="89">
        <f>M19-B19</f>
        <v>33.9058618254397</v>
      </c>
      <c r="Z19" s="69">
        <f>N19-M19</f>
        <v>-17.566944407825986</v>
      </c>
      <c r="AA19" s="69">
        <f>R19-N19</f>
        <v>2.2863913029164564</v>
      </c>
      <c r="AB19" s="89">
        <f>R19-B19</f>
        <v>18.625308720530171</v>
      </c>
      <c r="AC19" s="69">
        <f>S19-R19</f>
        <v>53.151064408894939</v>
      </c>
      <c r="AD19" s="69">
        <f>U19-S19</f>
        <v>-42.833342138011943</v>
      </c>
      <c r="AE19" s="92">
        <f>U19-R19</f>
        <v>10.317722270882996</v>
      </c>
      <c r="AF19" s="89">
        <f>U19-B19</f>
        <v>28.943030991413167</v>
      </c>
      <c r="AG19" s="69">
        <f>V19-U19</f>
        <v>-5.5575444679477357</v>
      </c>
      <c r="AH19" s="92">
        <f>V19-R19</f>
        <v>4.7601778029352602</v>
      </c>
      <c r="AI19" s="88">
        <f>(V19-B19)</f>
        <v>23.385486523465431</v>
      </c>
    </row>
    <row r="20" spans="1:35" x14ac:dyDescent="0.3">
      <c r="A20" s="74" t="s">
        <v>133</v>
      </c>
      <c r="B20" s="69">
        <f>B14/B15</f>
        <v>0.64474409664078791</v>
      </c>
      <c r="C20" s="69">
        <f t="shared" ref="C20:T20" si="8">C14/C15</f>
        <v>0.62957944216350881</v>
      </c>
      <c r="D20" s="69">
        <f t="shared" si="8"/>
        <v>0.63856818738923704</v>
      </c>
      <c r="E20" s="69">
        <f t="shared" si="8"/>
        <v>0.63246147693514743</v>
      </c>
      <c r="F20" s="69">
        <f t="shared" si="8"/>
        <v>0.63125798507107722</v>
      </c>
      <c r="G20" s="69">
        <f t="shared" si="8"/>
        <v>0.62354299745450315</v>
      </c>
      <c r="H20" s="69">
        <f t="shared" si="8"/>
        <v>0.61524428140053611</v>
      </c>
      <c r="I20" s="69">
        <f t="shared" si="8"/>
        <v>0.603546608137978</v>
      </c>
      <c r="J20" s="69">
        <f t="shared" si="8"/>
        <v>0.58328113967307471</v>
      </c>
      <c r="K20" s="69">
        <f t="shared" si="8"/>
        <v>0.59982341375140802</v>
      </c>
      <c r="L20" s="69">
        <f t="shared" si="8"/>
        <v>0.60302725101410615</v>
      </c>
      <c r="M20" s="69">
        <f t="shared" si="8"/>
        <v>0.58172813073615759</v>
      </c>
      <c r="N20" s="69">
        <f t="shared" si="8"/>
        <v>0.69152896538122932</v>
      </c>
      <c r="O20" s="69">
        <f t="shared" si="8"/>
        <v>0.70071523520638046</v>
      </c>
      <c r="P20" s="69">
        <f t="shared" si="8"/>
        <v>0.65734583193276541</v>
      </c>
      <c r="Q20" s="69">
        <f t="shared" si="8"/>
        <v>0.64671688153924956</v>
      </c>
      <c r="R20" s="69">
        <f t="shared" si="8"/>
        <v>0.63490400657571644</v>
      </c>
      <c r="S20" s="69">
        <f t="shared" si="8"/>
        <v>0.39307571557683618</v>
      </c>
      <c r="T20" s="69">
        <f t="shared" si="8"/>
        <v>0.47452419244399313</v>
      </c>
      <c r="U20" s="69">
        <f>U14/U15</f>
        <v>0.50985197051779041</v>
      </c>
      <c r="V20" s="69">
        <f>V14/V15</f>
        <v>0.57158256666170726</v>
      </c>
      <c r="Y20" s="87">
        <f>(M20-B20)/B20</f>
        <v>-9.7737949417377873E-2</v>
      </c>
      <c r="Z20" s="79">
        <f>(N20-M20)/M20</f>
        <v>0.18874939829043927</v>
      </c>
      <c r="AA20" s="79">
        <f>(R20-N20)/N20</f>
        <v>-8.1883712237991957E-2</v>
      </c>
      <c r="AB20" s="87">
        <f>(R20-B20)/B20</f>
        <v>-1.5262008781995517E-2</v>
      </c>
      <c r="AE20" s="93">
        <f>(U20-R20)/R20</f>
        <v>-0.19696211515876261</v>
      </c>
      <c r="AF20" s="87">
        <f>(U20-B20)/B20</f>
        <v>-0.20921808640948467</v>
      </c>
      <c r="AG20" s="79">
        <f>(V20-U20)/U20</f>
        <v>0.12107552723827879</v>
      </c>
      <c r="AH20" s="93">
        <f>(V20-R20)/V20</f>
        <v>-0.11078266484549056</v>
      </c>
      <c r="AI20" s="87">
        <f>(V20-B20)/B20</f>
        <v>-0.11347374929101801</v>
      </c>
    </row>
    <row r="21" spans="1:35" x14ac:dyDescent="0.3">
      <c r="A21" s="74" t="s">
        <v>134</v>
      </c>
      <c r="B21" s="69">
        <f>1-B20</f>
        <v>0.35525590335921209</v>
      </c>
      <c r="C21" s="69">
        <f t="shared" ref="C21:V21" si="9">1-C20</f>
        <v>0.37042055783649119</v>
      </c>
      <c r="D21" s="69">
        <f t="shared" si="9"/>
        <v>0.36143181261076296</v>
      </c>
      <c r="E21" s="69">
        <f t="shared" si="9"/>
        <v>0.36753852306485257</v>
      </c>
      <c r="F21" s="69">
        <f t="shared" si="9"/>
        <v>0.36874201492892278</v>
      </c>
      <c r="G21" s="69">
        <f t="shared" si="9"/>
        <v>0.37645700254549685</v>
      </c>
      <c r="H21" s="69">
        <f t="shared" si="9"/>
        <v>0.38475571859946389</v>
      </c>
      <c r="I21" s="69">
        <f t="shared" si="9"/>
        <v>0.396453391862022</v>
      </c>
      <c r="J21" s="69">
        <f t="shared" si="9"/>
        <v>0.41671886032692529</v>
      </c>
      <c r="K21" s="69">
        <f t="shared" si="9"/>
        <v>0.40017658624859198</v>
      </c>
      <c r="L21" s="69">
        <f t="shared" si="9"/>
        <v>0.39697274898589385</v>
      </c>
      <c r="M21" s="69">
        <f t="shared" si="9"/>
        <v>0.41827186926384241</v>
      </c>
      <c r="N21" s="69">
        <f t="shared" si="9"/>
        <v>0.30847103461877068</v>
      </c>
      <c r="O21" s="69">
        <f t="shared" si="9"/>
        <v>0.29928476479361954</v>
      </c>
      <c r="P21" s="69">
        <f t="shared" si="9"/>
        <v>0.34265416806723459</v>
      </c>
      <c r="Q21" s="69">
        <f t="shared" si="9"/>
        <v>0.35328311846075044</v>
      </c>
      <c r="R21" s="69">
        <f t="shared" si="9"/>
        <v>0.36509599342428356</v>
      </c>
      <c r="S21" s="69">
        <f t="shared" si="9"/>
        <v>0.60692428442316382</v>
      </c>
      <c r="T21" s="69">
        <f t="shared" si="9"/>
        <v>0.52547580755600687</v>
      </c>
      <c r="U21" s="69">
        <f t="shared" si="9"/>
        <v>0.49014802948220959</v>
      </c>
      <c r="V21" s="69">
        <f t="shared" si="9"/>
        <v>0.42841743333829274</v>
      </c>
      <c r="Y21" s="86"/>
      <c r="AB21" s="86"/>
      <c r="AE21" s="91"/>
      <c r="AF21" s="86"/>
      <c r="AH21" s="91"/>
      <c r="AI21" s="86"/>
    </row>
    <row r="22" spans="1:35" x14ac:dyDescent="0.3">
      <c r="A22" s="74" t="s">
        <v>230</v>
      </c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Y22" s="86"/>
      <c r="AB22" s="86"/>
      <c r="AE22" s="91"/>
      <c r="AF22" s="86"/>
      <c r="AH22" s="91"/>
      <c r="AI22" s="86"/>
    </row>
    <row r="23" spans="1:35" x14ac:dyDescent="0.3">
      <c r="A23" s="70" t="s">
        <v>128</v>
      </c>
      <c r="B23" s="75">
        <f>B11/B$7</f>
        <v>4.4912681533584324</v>
      </c>
      <c r="C23" s="75">
        <f t="shared" ref="C23:V24" si="10">C11/C$7</f>
        <v>4.59803993513321</v>
      </c>
      <c r="D23" s="75">
        <f t="shared" si="10"/>
        <v>4.7051831778721693</v>
      </c>
      <c r="E23" s="75">
        <f t="shared" si="10"/>
        <v>4.7875508886895117</v>
      </c>
      <c r="F23" s="75">
        <f t="shared" si="10"/>
        <v>4.776552296396182</v>
      </c>
      <c r="G23" s="75">
        <f t="shared" si="10"/>
        <v>5.101492125969882</v>
      </c>
      <c r="H23" s="75">
        <f t="shared" si="10"/>
        <v>5.2796800017368692</v>
      </c>
      <c r="I23" s="75">
        <f t="shared" si="10"/>
        <v>5.2715063742509347</v>
      </c>
      <c r="J23" s="75">
        <f t="shared" si="10"/>
        <v>5.1207340381036754</v>
      </c>
      <c r="K23" s="75">
        <f t="shared" si="10"/>
        <v>5.0905374016233713</v>
      </c>
      <c r="L23" s="75">
        <f t="shared" si="10"/>
        <v>5.1937480382115204</v>
      </c>
      <c r="M23" s="75">
        <f t="shared" si="10"/>
        <v>5.1308481032436708</v>
      </c>
      <c r="N23" s="75">
        <f t="shared" si="10"/>
        <v>5.298592656734745</v>
      </c>
      <c r="O23" s="75">
        <f t="shared" si="10"/>
        <v>5.2127380958874188</v>
      </c>
      <c r="P23" s="75">
        <f t="shared" si="10"/>
        <v>5.0839005243125843</v>
      </c>
      <c r="Q23" s="75">
        <f t="shared" si="10"/>
        <v>4.9893616924971189</v>
      </c>
      <c r="R23" s="75">
        <f t="shared" si="10"/>
        <v>4.871023959265866</v>
      </c>
      <c r="S23" s="75">
        <f t="shared" si="10"/>
        <v>4.3434286600000283</v>
      </c>
      <c r="T23" s="75">
        <f t="shared" si="10"/>
        <v>4.4997695389891357</v>
      </c>
      <c r="U23" s="75">
        <f t="shared" si="10"/>
        <v>4.1784104763134842</v>
      </c>
      <c r="V23" s="75">
        <f t="shared" si="10"/>
        <v>4.438022479880928</v>
      </c>
      <c r="Y23" s="86"/>
      <c r="AB23" s="86"/>
      <c r="AE23" s="91"/>
      <c r="AF23" s="86"/>
      <c r="AH23" s="91"/>
      <c r="AI23" s="86"/>
    </row>
    <row r="24" spans="1:35" x14ac:dyDescent="0.3">
      <c r="A24" s="70" t="s">
        <v>127</v>
      </c>
      <c r="B24" s="75">
        <f>B12/B$7</f>
        <v>6.9659701837653172</v>
      </c>
      <c r="C24" s="75">
        <f t="shared" si="10"/>
        <v>7.3033514552704348</v>
      </c>
      <c r="D24" s="75">
        <f t="shared" si="10"/>
        <v>7.3683332035520612</v>
      </c>
      <c r="E24" s="75">
        <f t="shared" si="10"/>
        <v>7.5697114579840665</v>
      </c>
      <c r="F24" s="75">
        <f t="shared" si="10"/>
        <v>7.5667198029318552</v>
      </c>
      <c r="G24" s="75">
        <f t="shared" si="10"/>
        <v>8.1814600545523923</v>
      </c>
      <c r="H24" s="75">
        <f t="shared" si="10"/>
        <v>8.5814369370784842</v>
      </c>
      <c r="I24" s="75">
        <f t="shared" si="10"/>
        <v>8.7342158885031882</v>
      </c>
      <c r="J24" s="75">
        <f t="shared" si="10"/>
        <v>8.7791867245592989</v>
      </c>
      <c r="K24" s="75">
        <f t="shared" si="10"/>
        <v>8.4867267347671476</v>
      </c>
      <c r="L24" s="75">
        <f t="shared" si="10"/>
        <v>8.6127915935428057</v>
      </c>
      <c r="M24" s="75">
        <f t="shared" si="10"/>
        <v>8.820010297165366</v>
      </c>
      <c r="N24" s="75">
        <f t="shared" si="10"/>
        <v>7.6621413158214011</v>
      </c>
      <c r="O24" s="75">
        <f t="shared" si="10"/>
        <v>7.4391676304171126</v>
      </c>
      <c r="P24" s="75">
        <f t="shared" si="10"/>
        <v>7.7339815320112573</v>
      </c>
      <c r="Q24" s="75">
        <f t="shared" si="10"/>
        <v>7.7149086948556986</v>
      </c>
      <c r="R24" s="75">
        <f t="shared" si="10"/>
        <v>7.6720636644540763</v>
      </c>
      <c r="S24" s="75">
        <f t="shared" si="10"/>
        <v>11.049852453047308</v>
      </c>
      <c r="T24" s="75">
        <f t="shared" si="10"/>
        <v>9.4826978490042553</v>
      </c>
      <c r="U24" s="75">
        <f t="shared" si="10"/>
        <v>8.195340447679385</v>
      </c>
      <c r="V24" s="75">
        <f t="shared" si="10"/>
        <v>7.7644468861269234</v>
      </c>
      <c r="Y24" s="86"/>
      <c r="AB24" s="86"/>
      <c r="AE24" s="91"/>
      <c r="AF24" s="86"/>
      <c r="AH24" s="91"/>
      <c r="AI24" s="86"/>
    </row>
    <row r="25" spans="1:35" x14ac:dyDescent="0.3">
      <c r="A25" s="74" t="s">
        <v>131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Y25" s="86"/>
      <c r="AB25" s="86"/>
      <c r="AE25" s="91"/>
      <c r="AF25" s="86"/>
      <c r="AH25" s="91"/>
      <c r="AI25" s="86"/>
    </row>
    <row r="26" spans="1:35" x14ac:dyDescent="0.3">
      <c r="A26" s="70" t="s">
        <v>126</v>
      </c>
      <c r="B26" s="70">
        <v>100</v>
      </c>
      <c r="C26" s="69">
        <f>C7/B7*B26</f>
        <v>100.39406580500423</v>
      </c>
      <c r="D26" s="69">
        <f t="shared" ref="D26:V26" si="11">D7/C7*C26</f>
        <v>101.22076007112406</v>
      </c>
      <c r="E26" s="69">
        <f t="shared" si="11"/>
        <v>102.84578336695355</v>
      </c>
      <c r="F26" s="69">
        <f t="shared" si="11"/>
        <v>105.64057963540121</v>
      </c>
      <c r="G26" s="69">
        <f t="shared" si="11"/>
        <v>107.8834259110574</v>
      </c>
      <c r="H26" s="69">
        <f t="shared" si="11"/>
        <v>109.07253881759161</v>
      </c>
      <c r="I26" s="69">
        <f t="shared" si="11"/>
        <v>111.2110666618219</v>
      </c>
      <c r="J26" s="69">
        <f t="shared" si="11"/>
        <v>113.19745369257944</v>
      </c>
      <c r="K26" s="69">
        <f t="shared" si="11"/>
        <v>115.3778261211008</v>
      </c>
      <c r="L26" s="69">
        <f t="shared" si="11"/>
        <v>116.79151668450237</v>
      </c>
      <c r="M26" s="69">
        <f t="shared" si="11"/>
        <v>118.46635496163071</v>
      </c>
      <c r="N26" s="69">
        <f t="shared" si="11"/>
        <v>120.80320503729088</v>
      </c>
      <c r="O26" s="69">
        <f t="shared" si="11"/>
        <v>123.36170247680083</v>
      </c>
      <c r="P26" s="69">
        <f t="shared" si="11"/>
        <v>126.77232912582322</v>
      </c>
      <c r="Q26" s="69">
        <f t="shared" si="11"/>
        <v>129.67484296559715</v>
      </c>
      <c r="R26" s="69">
        <f t="shared" si="11"/>
        <v>133.30184245103771</v>
      </c>
      <c r="S26" s="69">
        <f t="shared" si="11"/>
        <v>137.9848023282936</v>
      </c>
      <c r="T26" s="69">
        <f t="shared" si="11"/>
        <v>143.41287711405985</v>
      </c>
      <c r="U26" s="69">
        <f t="shared" si="11"/>
        <v>146.41314552890029</v>
      </c>
      <c r="V26" s="69">
        <f t="shared" si="11"/>
        <v>145.49760477848741</v>
      </c>
      <c r="Y26" s="86"/>
      <c r="AB26" s="86"/>
      <c r="AE26" s="91"/>
      <c r="AF26" s="86"/>
      <c r="AH26" s="91"/>
      <c r="AI26" s="86"/>
    </row>
    <row r="27" spans="1:35" x14ac:dyDescent="0.3">
      <c r="A27" s="70" t="s">
        <v>128</v>
      </c>
      <c r="B27" s="70">
        <v>100</v>
      </c>
      <c r="C27" s="69">
        <f>C23/B23*B27</f>
        <v>102.37731923654874</v>
      </c>
      <c r="D27" s="69">
        <f t="shared" ref="D27:T28" si="12">D23/C23*C27</f>
        <v>104.76290920981367</v>
      </c>
      <c r="E27" s="69">
        <f t="shared" si="12"/>
        <v>106.59686140337732</v>
      </c>
      <c r="F27" s="69">
        <f t="shared" si="12"/>
        <v>106.3519730574186</v>
      </c>
      <c r="G27" s="69">
        <f t="shared" si="12"/>
        <v>113.58689688023067</v>
      </c>
      <c r="H27" s="69">
        <f t="shared" si="12"/>
        <v>117.55432589320874</v>
      </c>
      <c r="I27" s="69">
        <f t="shared" si="12"/>
        <v>117.37233659293011</v>
      </c>
      <c r="J27" s="69">
        <f t="shared" si="12"/>
        <v>114.01532625645051</v>
      </c>
      <c r="K27" s="69">
        <f t="shared" si="12"/>
        <v>113.34298527280819</v>
      </c>
      <c r="L27" s="69">
        <f t="shared" si="12"/>
        <v>115.64101409370974</v>
      </c>
      <c r="M27" s="69">
        <f t="shared" si="12"/>
        <v>114.24052022827854</v>
      </c>
      <c r="N27" s="69">
        <f t="shared" si="12"/>
        <v>117.97542421893962</v>
      </c>
      <c r="O27" s="69">
        <f t="shared" si="12"/>
        <v>116.06383582306246</v>
      </c>
      <c r="P27" s="69">
        <f t="shared" si="12"/>
        <v>113.19521237027455</v>
      </c>
      <c r="Q27" s="69">
        <f t="shared" si="12"/>
        <v>111.09026497930721</v>
      </c>
      <c r="R27" s="69">
        <f t="shared" si="12"/>
        <v>108.45542490317496</v>
      </c>
      <c r="S27" s="69">
        <f t="shared" si="12"/>
        <v>96.708290658444596</v>
      </c>
      <c r="T27" s="69">
        <f t="shared" si="12"/>
        <v>100.18928697509071</v>
      </c>
      <c r="U27" s="69">
        <f>U23/T23*T27</f>
        <v>93.0340904536951</v>
      </c>
      <c r="V27" s="69">
        <f>V23/U23*U27</f>
        <v>98.814462382129477</v>
      </c>
      <c r="Y27" s="89">
        <f>M27-B27</f>
        <v>14.240520228278541</v>
      </c>
      <c r="Z27" s="69">
        <f>N27-M27</f>
        <v>3.7349039906610813</v>
      </c>
      <c r="AA27" s="69">
        <f>R27-N27</f>
        <v>-9.5199993157646645</v>
      </c>
      <c r="AB27" s="89">
        <f>R27-B27</f>
        <v>8.4554249031749578</v>
      </c>
      <c r="AC27" s="69">
        <f>S27-R27</f>
        <v>-11.747134244730361</v>
      </c>
      <c r="AD27" s="69">
        <f>U27-S27</f>
        <v>-3.6742002047494964</v>
      </c>
      <c r="AE27" s="92">
        <f>U27-R27</f>
        <v>-15.421334449479858</v>
      </c>
      <c r="AF27" s="89">
        <f>U27-B27</f>
        <v>-6.9659095463048999</v>
      </c>
      <c r="AG27" s="69">
        <f>V27-U27</f>
        <v>5.7803719284343771</v>
      </c>
      <c r="AH27" s="92">
        <f>V27-R27</f>
        <v>-9.6409625210454806</v>
      </c>
      <c r="AI27" s="88">
        <f>(V27-B27)</f>
        <v>-1.1855376178705228</v>
      </c>
    </row>
    <row r="28" spans="1:35" x14ac:dyDescent="0.3">
      <c r="A28" s="70" t="s">
        <v>127</v>
      </c>
      <c r="B28" s="70">
        <v>100</v>
      </c>
      <c r="C28" s="69">
        <f>C24/B24*B28</f>
        <v>104.84327757088896</v>
      </c>
      <c r="D28" s="69">
        <f t="shared" si="12"/>
        <v>105.77612319852416</v>
      </c>
      <c r="E28" s="69">
        <f t="shared" si="12"/>
        <v>108.667009164435</v>
      </c>
      <c r="F28" s="69">
        <f t="shared" si="12"/>
        <v>108.62406245387939</v>
      </c>
      <c r="G28" s="69">
        <f t="shared" si="12"/>
        <v>117.4489674621327</v>
      </c>
      <c r="H28" s="69">
        <f t="shared" si="12"/>
        <v>123.1908364620642</v>
      </c>
      <c r="I28" s="69">
        <f t="shared" si="12"/>
        <v>125.38405502881554</v>
      </c>
      <c r="J28" s="69">
        <f t="shared" si="12"/>
        <v>126.02963396282989</v>
      </c>
      <c r="K28" s="69">
        <f t="shared" si="12"/>
        <v>121.83122394847538</v>
      </c>
      <c r="L28" s="69">
        <f t="shared" si="12"/>
        <v>123.64094830057586</v>
      </c>
      <c r="M28" s="69">
        <f t="shared" si="12"/>
        <v>126.61567684744071</v>
      </c>
      <c r="N28" s="69">
        <f t="shared" si="12"/>
        <v>109.99388618800809</v>
      </c>
      <c r="O28" s="69">
        <f t="shared" si="12"/>
        <v>106.79298696618908</v>
      </c>
      <c r="P28" s="69">
        <f t="shared" si="12"/>
        <v>111.02518856649493</v>
      </c>
      <c r="Q28" s="69">
        <f t="shared" si="12"/>
        <v>110.75138841156448</v>
      </c>
      <c r="R28" s="69">
        <f t="shared" si="12"/>
        <v>110.1363264852089</v>
      </c>
      <c r="S28" s="69">
        <f t="shared" si="12"/>
        <v>158.62618072640856</v>
      </c>
      <c r="T28" s="69">
        <f>T24/S24*S28</f>
        <v>136.12888942741026</v>
      </c>
      <c r="U28" s="69">
        <f>U24/T24*T28</f>
        <v>117.64822747560996</v>
      </c>
      <c r="V28" s="69">
        <f>V24/U24*U28</f>
        <v>111.4625340232221</v>
      </c>
      <c r="Y28" s="89">
        <f>M28-B28</f>
        <v>26.61567684744071</v>
      </c>
      <c r="Z28" s="69">
        <f>N28-M28</f>
        <v>-16.621790659432619</v>
      </c>
      <c r="AA28" s="69">
        <f>R28-N28</f>
        <v>0.14244029720080675</v>
      </c>
      <c r="AB28" s="89">
        <f>R28-B28</f>
        <v>10.136326485208897</v>
      </c>
      <c r="AC28" s="69">
        <f>S28-R28</f>
        <v>48.489854241199666</v>
      </c>
      <c r="AD28" s="69">
        <f>U28-S28</f>
        <v>-40.977953250798606</v>
      </c>
      <c r="AE28" s="92">
        <f>U28-R28</f>
        <v>7.5119009904010596</v>
      </c>
      <c r="AF28" s="89">
        <f>U28-B28</f>
        <v>17.648227475609957</v>
      </c>
      <c r="AG28" s="69">
        <f>V28-U28</f>
        <v>-6.1856934523878522</v>
      </c>
      <c r="AH28" s="92">
        <f>V28-R28</f>
        <v>1.3262075380132075</v>
      </c>
      <c r="AI28" s="88">
        <f>(V28-B28)</f>
        <v>11.462534023222105</v>
      </c>
    </row>
    <row r="29" spans="1:35" x14ac:dyDescent="0.3">
      <c r="A29" s="74" t="s">
        <v>133</v>
      </c>
      <c r="B29" s="69">
        <f>B23/B24</f>
        <v>0.64474409664078791</v>
      </c>
      <c r="C29" s="69">
        <f t="shared" ref="C29:T29" si="13">C23/C24</f>
        <v>0.6295794421635087</v>
      </c>
      <c r="D29" s="69">
        <f t="shared" si="13"/>
        <v>0.63856818738923693</v>
      </c>
      <c r="E29" s="69">
        <f t="shared" si="13"/>
        <v>0.63246147693514754</v>
      </c>
      <c r="F29" s="69">
        <f t="shared" si="13"/>
        <v>0.63125798507107733</v>
      </c>
      <c r="G29" s="69">
        <f t="shared" si="13"/>
        <v>0.62354299745450326</v>
      </c>
      <c r="H29" s="69">
        <f t="shared" si="13"/>
        <v>0.61524428140053611</v>
      </c>
      <c r="I29" s="69">
        <f t="shared" si="13"/>
        <v>0.603546608137978</v>
      </c>
      <c r="J29" s="69">
        <f t="shared" si="13"/>
        <v>0.58328113967307471</v>
      </c>
      <c r="K29" s="69">
        <f t="shared" si="13"/>
        <v>0.59982341375140813</v>
      </c>
      <c r="L29" s="69">
        <f t="shared" si="13"/>
        <v>0.60302725101410615</v>
      </c>
      <c r="M29" s="69">
        <f t="shared" si="13"/>
        <v>0.5817281307361577</v>
      </c>
      <c r="N29" s="69">
        <f t="shared" si="13"/>
        <v>0.69152896538122932</v>
      </c>
      <c r="O29" s="69">
        <f t="shared" si="13"/>
        <v>0.70071523520638046</v>
      </c>
      <c r="P29" s="69">
        <f t="shared" si="13"/>
        <v>0.65734583193276552</v>
      </c>
      <c r="Q29" s="69">
        <f t="shared" si="13"/>
        <v>0.64671688153924956</v>
      </c>
      <c r="R29" s="69">
        <f t="shared" si="13"/>
        <v>0.63490400657571644</v>
      </c>
      <c r="S29" s="69">
        <f t="shared" si="13"/>
        <v>0.39307571557683613</v>
      </c>
      <c r="T29" s="69">
        <f t="shared" si="13"/>
        <v>0.47452419244399319</v>
      </c>
      <c r="U29" s="69">
        <f>U23/U24</f>
        <v>0.5098519705177903</v>
      </c>
      <c r="V29" s="69">
        <f>V23/V24</f>
        <v>0.57158256666170737</v>
      </c>
      <c r="Y29" s="87">
        <f>(M29-B29)/B29</f>
        <v>-9.7737949417377706E-2</v>
      </c>
      <c r="Z29" s="79">
        <f>(N29-M29)/M29</f>
        <v>0.18874939829043905</v>
      </c>
      <c r="AA29" s="79">
        <f>(R29-N29)/N29</f>
        <v>-8.1883712237991957E-2</v>
      </c>
      <c r="AB29" s="87">
        <f>(R29-B29)/B29</f>
        <v>-1.5262008781995517E-2</v>
      </c>
      <c r="AE29" s="93">
        <f>(U29-R29)/R29</f>
        <v>-0.19696211515876277</v>
      </c>
      <c r="AF29" s="87">
        <f>(U29-B29)/B29</f>
        <v>-0.20921808640948483</v>
      </c>
      <c r="AG29" s="79">
        <f>(V29-U29)/U29</f>
        <v>0.12107552723827926</v>
      </c>
      <c r="AH29" s="93">
        <f>(V29-R29)/V29</f>
        <v>-0.11078266484549035</v>
      </c>
      <c r="AI29" s="87">
        <f>(V29-B29)/B29</f>
        <v>-0.11347374929101783</v>
      </c>
    </row>
    <row r="30" spans="1:35" x14ac:dyDescent="0.3">
      <c r="A30" s="74" t="s">
        <v>134</v>
      </c>
      <c r="B30" s="69">
        <f>1-B29</f>
        <v>0.35525590335921209</v>
      </c>
      <c r="C30" s="69">
        <f t="shared" ref="C30:V30" si="14">1-C29</f>
        <v>0.3704205578364913</v>
      </c>
      <c r="D30" s="69">
        <f t="shared" si="14"/>
        <v>0.36143181261076307</v>
      </c>
      <c r="E30" s="69">
        <f t="shared" si="14"/>
        <v>0.36753852306485246</v>
      </c>
      <c r="F30" s="69">
        <f t="shared" si="14"/>
        <v>0.36874201492892267</v>
      </c>
      <c r="G30" s="69">
        <f t="shared" si="14"/>
        <v>0.37645700254549674</v>
      </c>
      <c r="H30" s="69">
        <f t="shared" si="14"/>
        <v>0.38475571859946389</v>
      </c>
      <c r="I30" s="69">
        <f t="shared" si="14"/>
        <v>0.396453391862022</v>
      </c>
      <c r="J30" s="69">
        <f t="shared" si="14"/>
        <v>0.41671886032692529</v>
      </c>
      <c r="K30" s="69">
        <f t="shared" si="14"/>
        <v>0.40017658624859187</v>
      </c>
      <c r="L30" s="69">
        <f t="shared" si="14"/>
        <v>0.39697274898589385</v>
      </c>
      <c r="M30" s="69">
        <f t="shared" si="14"/>
        <v>0.4182718692638423</v>
      </c>
      <c r="N30" s="69">
        <f t="shared" si="14"/>
        <v>0.30847103461877068</v>
      </c>
      <c r="O30" s="69">
        <f t="shared" si="14"/>
        <v>0.29928476479361954</v>
      </c>
      <c r="P30" s="69">
        <f t="shared" si="14"/>
        <v>0.34265416806723448</v>
      </c>
      <c r="Q30" s="69">
        <f t="shared" si="14"/>
        <v>0.35328311846075044</v>
      </c>
      <c r="R30" s="69">
        <f t="shared" si="14"/>
        <v>0.36509599342428356</v>
      </c>
      <c r="S30" s="69">
        <f t="shared" si="14"/>
        <v>0.60692428442316393</v>
      </c>
      <c r="T30" s="69">
        <f t="shared" si="14"/>
        <v>0.52547580755600687</v>
      </c>
      <c r="U30" s="69">
        <f t="shared" si="14"/>
        <v>0.4901480294822097</v>
      </c>
      <c r="V30" s="69">
        <f t="shared" si="14"/>
        <v>0.42841743333829263</v>
      </c>
      <c r="Y30" s="86"/>
      <c r="AB30" s="86"/>
      <c r="AE30" s="91"/>
      <c r="AF30" s="86"/>
      <c r="AH30" s="91"/>
      <c r="AI30" s="86"/>
    </row>
    <row r="31" spans="1:35" x14ac:dyDescent="0.3">
      <c r="Y31" s="86"/>
      <c r="AB31" s="86"/>
      <c r="AE31" s="91"/>
      <c r="AF31" s="86"/>
      <c r="AH31" s="91"/>
      <c r="AI31" s="86"/>
    </row>
    <row r="32" spans="1:35" x14ac:dyDescent="0.3">
      <c r="A32" s="68" t="s">
        <v>132</v>
      </c>
      <c r="Y32" s="86"/>
      <c r="AB32" s="86"/>
      <c r="AE32" s="91"/>
      <c r="AF32" s="86"/>
      <c r="AH32" s="91"/>
      <c r="AI32" s="86"/>
    </row>
    <row r="33" spans="1:35" x14ac:dyDescent="0.3">
      <c r="A33" s="70" t="s">
        <v>231</v>
      </c>
      <c r="B33" s="70">
        <f>'Oplijsting (sub)categorieën KSZ'!C15</f>
        <v>3416845</v>
      </c>
      <c r="C33" s="70">
        <f>'Oplijsting (sub)categorieën KSZ'!D15</f>
        <v>3446922</v>
      </c>
      <c r="D33" s="70">
        <f>'Oplijsting (sub)categorieën KSZ'!E15</f>
        <v>3488326</v>
      </c>
      <c r="E33" s="70">
        <f>'Oplijsting (sub)categorieën KSZ'!F15</f>
        <v>3552305</v>
      </c>
      <c r="F33" s="70">
        <f>'Oplijsting (sub)categorieën KSZ'!G15</f>
        <v>3632158</v>
      </c>
      <c r="G33" s="70">
        <f>'Oplijsting (sub)categorieën KSZ'!H15</f>
        <v>3664695</v>
      </c>
      <c r="H33" s="70">
        <f>'Oplijsting (sub)categorieën KSZ'!I15</f>
        <v>3650975</v>
      </c>
      <c r="I33" s="70">
        <f>'Oplijsting (sub)categorieën KSZ'!J15</f>
        <v>3702275</v>
      </c>
      <c r="J33" s="70">
        <f>'Oplijsting (sub)categorieën KSZ'!K15</f>
        <v>3724412</v>
      </c>
      <c r="K33" s="70">
        <f>'Oplijsting (sub)categorieën KSZ'!L15</f>
        <v>3717226</v>
      </c>
      <c r="L33" s="70">
        <f>'Oplijsting (sub)categorieën KSZ'!M15</f>
        <v>3704916</v>
      </c>
      <c r="M33" s="70">
        <f>'Oplijsting (sub)categorieën KSZ'!N15</f>
        <v>3726937</v>
      </c>
      <c r="N33" s="70">
        <f>'Oplijsting (sub)categorieën KSZ'!O15</f>
        <v>3752674</v>
      </c>
      <c r="O33" s="70">
        <f>'Oplijsting (sub)categorieën KSZ'!P15</f>
        <v>3801359</v>
      </c>
      <c r="P33" s="70">
        <f>'Oplijsting (sub)categorieën KSZ'!Q15</f>
        <v>3858071</v>
      </c>
      <c r="Q33" s="70">
        <f>'Oplijsting (sub)categorieën KSZ'!R15</f>
        <v>3914029</v>
      </c>
      <c r="R33" s="70">
        <f>'Oplijsting (sub)categorieën KSZ'!S15</f>
        <v>3966918</v>
      </c>
      <c r="S33" s="70">
        <f>'Oplijsting (sub)categorieën KSZ'!T15</f>
        <v>3946692</v>
      </c>
      <c r="T33" s="70">
        <f>'Oplijsting (sub)categorieën KSZ'!U15</f>
        <v>4019084</v>
      </c>
      <c r="U33" s="70">
        <f>'Oplijsting (sub)categorieën KSZ'!V15</f>
        <v>4069839</v>
      </c>
      <c r="V33" s="70">
        <f>'Oplijsting (sub)categorieën KSZ'!W15</f>
        <v>3992877</v>
      </c>
      <c r="Y33" s="86"/>
      <c r="AB33" s="86"/>
      <c r="AE33" s="91"/>
      <c r="AF33" s="86"/>
      <c r="AH33" s="91"/>
      <c r="AI33" s="86"/>
    </row>
    <row r="34" spans="1:35" x14ac:dyDescent="0.3">
      <c r="A34" s="70" t="s">
        <v>232</v>
      </c>
      <c r="B34" s="70">
        <f>'Oplijsting (sub)categorieën KSZ'!C16</f>
        <v>3431288</v>
      </c>
      <c r="C34" s="70">
        <f>'Oplijsting (sub)categorieën KSZ'!D16</f>
        <v>3460962</v>
      </c>
      <c r="D34" s="70">
        <f>'Oplijsting (sub)categorieën KSZ'!E16</f>
        <v>3501575</v>
      </c>
      <c r="E34" s="70">
        <f>'Oplijsting (sub)categorieën KSZ'!F16</f>
        <v>3566422</v>
      </c>
      <c r="F34" s="70">
        <f>'Oplijsting (sub)categorieën KSZ'!G16</f>
        <v>3646646</v>
      </c>
      <c r="G34" s="70">
        <f>'Oplijsting (sub)categorieën KSZ'!H16</f>
        <v>3679558</v>
      </c>
      <c r="H34" s="70">
        <f>'Oplijsting (sub)categorieën KSZ'!I16</f>
        <v>3665867</v>
      </c>
      <c r="I34" s="70">
        <f>'Oplijsting (sub)categorieën KSZ'!J16</f>
        <v>3717768</v>
      </c>
      <c r="J34" s="70">
        <f>'Oplijsting (sub)categorieën KSZ'!K16</f>
        <v>3740447</v>
      </c>
      <c r="K34" s="70">
        <f>'Oplijsting (sub)categorieën KSZ'!L16</f>
        <v>3733131</v>
      </c>
      <c r="L34" s="70">
        <f>'Oplijsting (sub)categorieën KSZ'!M16</f>
        <v>3721153</v>
      </c>
      <c r="M34" s="70">
        <f>'Oplijsting (sub)categorieën KSZ'!N16</f>
        <v>3743258</v>
      </c>
      <c r="N34" s="70">
        <f>'Oplijsting (sub)categorieën KSZ'!O16</f>
        <v>3769678</v>
      </c>
      <c r="O34" s="70">
        <f>'Oplijsting (sub)categorieën KSZ'!P16</f>
        <v>3818849</v>
      </c>
      <c r="P34" s="70">
        <f>'Oplijsting (sub)categorieën KSZ'!Q16</f>
        <v>3876357</v>
      </c>
      <c r="Q34" s="70">
        <f>'Oplijsting (sub)categorieën KSZ'!R16</f>
        <v>3933049</v>
      </c>
      <c r="R34" s="70">
        <f>'Oplijsting (sub)categorieën KSZ'!S16</f>
        <v>3986725</v>
      </c>
      <c r="S34" s="70">
        <f>'Oplijsting (sub)categorieën KSZ'!T16</f>
        <v>3966758</v>
      </c>
      <c r="T34" s="70">
        <f>'Oplijsting (sub)categorieën KSZ'!U16</f>
        <v>4040443</v>
      </c>
      <c r="U34" s="70">
        <f>'Oplijsting (sub)categorieën KSZ'!V16</f>
        <v>4092156</v>
      </c>
      <c r="V34" s="70">
        <f>'Oplijsting (sub)categorieën KSZ'!W16</f>
        <v>4015175</v>
      </c>
      <c r="Y34" s="86"/>
      <c r="AB34" s="86"/>
      <c r="AE34" s="91"/>
      <c r="AF34" s="86"/>
      <c r="AH34" s="91"/>
      <c r="AI34" s="86"/>
    </row>
    <row r="35" spans="1:35" x14ac:dyDescent="0.3">
      <c r="A35" s="70" t="s">
        <v>128</v>
      </c>
      <c r="B35" s="73">
        <v>32469268.396650001</v>
      </c>
      <c r="C35" s="73">
        <v>33123848.60579</v>
      </c>
      <c r="D35" s="73">
        <v>34202276.429250002</v>
      </c>
      <c r="E35" s="73">
        <v>35153662.244000003</v>
      </c>
      <c r="F35" s="73">
        <v>37103312.221569993</v>
      </c>
      <c r="G35" s="73">
        <v>38476948.79958</v>
      </c>
      <c r="H35" s="73">
        <v>39261165.236699998</v>
      </c>
      <c r="I35" s="73">
        <v>39580643.798440017</v>
      </c>
      <c r="J35" s="73">
        <v>41462766.483000003</v>
      </c>
      <c r="K35" s="73">
        <v>43343818.894059993</v>
      </c>
      <c r="L35" s="73">
        <v>44275102.849219993</v>
      </c>
      <c r="M35" s="73">
        <v>45842493.395020001</v>
      </c>
      <c r="N35" s="73">
        <v>47640682.781880014</v>
      </c>
      <c r="O35" s="73">
        <v>47640622.342170008</v>
      </c>
      <c r="P35" s="73">
        <v>48995747.728340022</v>
      </c>
      <c r="Q35" s="73">
        <v>49961681.021519989</v>
      </c>
      <c r="R35" s="73">
        <v>51749904.124439999</v>
      </c>
      <c r="S35" s="73">
        <v>50773063.877800003</v>
      </c>
      <c r="T35" s="73">
        <v>53722777.372219868</v>
      </c>
      <c r="U35" s="73">
        <v>58532826.369349167</v>
      </c>
      <c r="V35" s="73">
        <v>62867871.943820201</v>
      </c>
      <c r="W35" s="73">
        <v>65768583.062982492</v>
      </c>
      <c r="X35" s="73">
        <v>68200925.783903718</v>
      </c>
      <c r="Y35" s="86"/>
      <c r="AB35" s="86"/>
      <c r="AE35" s="91"/>
      <c r="AF35" s="86"/>
      <c r="AH35" s="91"/>
      <c r="AI35" s="86"/>
    </row>
    <row r="36" spans="1:35" x14ac:dyDescent="0.3">
      <c r="A36" s="70" t="s">
        <v>127</v>
      </c>
      <c r="B36" s="73">
        <v>45740071.895230003</v>
      </c>
      <c r="C36" s="73">
        <v>49471194.458180003</v>
      </c>
      <c r="D36" s="73">
        <v>51489775.262560003</v>
      </c>
      <c r="E36" s="73">
        <v>53137694.574450001</v>
      </c>
      <c r="F36" s="73">
        <v>55551743.960129999</v>
      </c>
      <c r="G36" s="73">
        <v>55597964.64350085</v>
      </c>
      <c r="H36" s="73">
        <v>60005316.79828617</v>
      </c>
      <c r="I36" s="73">
        <v>62498799.437202722</v>
      </c>
      <c r="J36" s="73">
        <v>65753434.160070524</v>
      </c>
      <c r="K36" s="73">
        <v>67089304.179913342</v>
      </c>
      <c r="L36" s="73">
        <v>69743794.864972085</v>
      </c>
      <c r="M36" s="73">
        <v>73219534.039343894</v>
      </c>
      <c r="N36" s="73">
        <v>63212126.102489561</v>
      </c>
      <c r="O36" s="73">
        <v>65299032.636351019</v>
      </c>
      <c r="P36" s="73">
        <v>68913399.054115579</v>
      </c>
      <c r="Q36" s="73">
        <v>70920703.508738726</v>
      </c>
      <c r="R36" s="73">
        <v>73329306.571754724</v>
      </c>
      <c r="S36" s="73">
        <v>81169680.245554477</v>
      </c>
      <c r="T36" s="73">
        <v>81725543.139398187</v>
      </c>
      <c r="U36" s="73">
        <v>86385195.721542031</v>
      </c>
      <c r="V36" s="73">
        <v>93354528.159817308</v>
      </c>
      <c r="W36" s="73">
        <v>99309273.881186157</v>
      </c>
      <c r="X36" s="73">
        <v>105421945.60847655</v>
      </c>
      <c r="Y36" s="86"/>
      <c r="AB36" s="86"/>
      <c r="AE36" s="91"/>
      <c r="AF36" s="86"/>
      <c r="AH36" s="91"/>
      <c r="AI36" s="86"/>
    </row>
    <row r="37" spans="1:35" x14ac:dyDescent="0.3">
      <c r="A37" s="74" t="s">
        <v>129</v>
      </c>
      <c r="Y37" s="86"/>
      <c r="AB37" s="86"/>
      <c r="AE37" s="91"/>
      <c r="AF37" s="86"/>
      <c r="AH37" s="91"/>
      <c r="AI37" s="86"/>
    </row>
    <row r="38" spans="1:35" x14ac:dyDescent="0.3">
      <c r="A38" s="70" t="s">
        <v>128</v>
      </c>
      <c r="B38" s="70">
        <f t="shared" ref="B38:V38" si="15">B35*B4</f>
        <v>52656661.67958571</v>
      </c>
      <c r="C38" s="70">
        <f t="shared" si="15"/>
        <v>52857871.661412895</v>
      </c>
      <c r="D38" s="70">
        <f t="shared" si="15"/>
        <v>53420277.718150325</v>
      </c>
      <c r="E38" s="70">
        <f t="shared" si="15"/>
        <v>53952255.078265086</v>
      </c>
      <c r="F38" s="70">
        <f t="shared" si="15"/>
        <v>55955828.24714908</v>
      </c>
      <c r="G38" s="70">
        <f t="shared" si="15"/>
        <v>55676167.568687603</v>
      </c>
      <c r="H38" s="70">
        <f t="shared" si="15"/>
        <v>56478392.010474682</v>
      </c>
      <c r="I38" s="70">
        <f t="shared" si="15"/>
        <v>56001285.691226847</v>
      </c>
      <c r="J38" s="70">
        <f t="shared" si="15"/>
        <v>56922621.179321274</v>
      </c>
      <c r="K38" s="70">
        <f t="shared" si="15"/>
        <v>57969457.707140654</v>
      </c>
      <c r="L38" s="70">
        <f t="shared" si="15"/>
        <v>58488907.221694663</v>
      </c>
      <c r="M38" s="70">
        <f t="shared" si="15"/>
        <v>60315405.482953973</v>
      </c>
      <c r="N38" s="70">
        <f t="shared" si="15"/>
        <v>62030520.787038937</v>
      </c>
      <c r="O38" s="70">
        <f t="shared" si="15"/>
        <v>60759310.111963004</v>
      </c>
      <c r="P38" s="70">
        <f t="shared" si="15"/>
        <v>61355188.870815121</v>
      </c>
      <c r="Q38" s="70">
        <f t="shared" si="15"/>
        <v>61479306.574000396</v>
      </c>
      <c r="R38" s="70">
        <f t="shared" si="15"/>
        <v>62759957.631058156</v>
      </c>
      <c r="S38" s="70">
        <f t="shared" si="15"/>
        <v>60974912.419930145</v>
      </c>
      <c r="T38" s="70">
        <f t="shared" si="15"/>
        <v>63246592.771445163</v>
      </c>
      <c r="U38" s="70">
        <f t="shared" si="15"/>
        <v>63073610.664530948</v>
      </c>
      <c r="V38" s="70">
        <f t="shared" si="15"/>
        <v>64934056.092826739</v>
      </c>
      <c r="Y38" s="86"/>
      <c r="AB38" s="86"/>
      <c r="AE38" s="91"/>
      <c r="AF38" s="86"/>
      <c r="AH38" s="91"/>
      <c r="AI38" s="86"/>
    </row>
    <row r="39" spans="1:35" x14ac:dyDescent="0.3">
      <c r="A39" s="70" t="s">
        <v>127</v>
      </c>
      <c r="B39" s="70">
        <f t="shared" ref="B39:V39" si="16">B36*B4</f>
        <v>74178434.252480745</v>
      </c>
      <c r="C39" s="70">
        <f t="shared" si="16"/>
        <v>78944390.753862813</v>
      </c>
      <c r="D39" s="70">
        <f t="shared" si="16"/>
        <v>80421491.82265462</v>
      </c>
      <c r="E39" s="70">
        <f t="shared" si="16"/>
        <v>81553336.663834766</v>
      </c>
      <c r="F39" s="70">
        <f t="shared" si="16"/>
        <v>83778068.796120659</v>
      </c>
      <c r="G39" s="70">
        <f t="shared" si="16"/>
        <v>80450287.575903401</v>
      </c>
      <c r="H39" s="70">
        <f t="shared" si="16"/>
        <v>86319491.141297117</v>
      </c>
      <c r="I39" s="70">
        <f t="shared" si="16"/>
        <v>88427392.451343164</v>
      </c>
      <c r="J39" s="70">
        <f t="shared" si="16"/>
        <v>90270335.084074348</v>
      </c>
      <c r="K39" s="70">
        <f t="shared" si="16"/>
        <v>89727455.505586818</v>
      </c>
      <c r="L39" s="70">
        <f t="shared" si="16"/>
        <v>92133910.135414228</v>
      </c>
      <c r="M39" s="70">
        <f t="shared" si="16"/>
        <v>96335638.788262978</v>
      </c>
      <c r="N39" s="70">
        <f t="shared" si="16"/>
        <v>82305308.6822</v>
      </c>
      <c r="O39" s="70">
        <f t="shared" si="16"/>
        <v>83280275.92644009</v>
      </c>
      <c r="P39" s="70">
        <f t="shared" si="16"/>
        <v>86297174.974012077</v>
      </c>
      <c r="Q39" s="70">
        <f t="shared" si="16"/>
        <v>87269995.410672516</v>
      </c>
      <c r="R39" s="70">
        <f t="shared" si="16"/>
        <v>88930486.953013301</v>
      </c>
      <c r="S39" s="70">
        <f t="shared" si="16"/>
        <v>97479130.982490391</v>
      </c>
      <c r="T39" s="70">
        <f t="shared" si="16"/>
        <v>96213606.198169455</v>
      </c>
      <c r="U39" s="70">
        <f t="shared" si="16"/>
        <v>93086675.291200891</v>
      </c>
      <c r="V39" s="70">
        <f t="shared" si="16"/>
        <v>96422671.558947578</v>
      </c>
      <c r="Y39" s="86"/>
      <c r="AB39" s="86"/>
      <c r="AE39" s="91"/>
      <c r="AF39" s="86"/>
      <c r="AH39" s="91"/>
      <c r="AI39" s="86"/>
    </row>
    <row r="40" spans="1:35" x14ac:dyDescent="0.3">
      <c r="A40" s="74" t="s">
        <v>233</v>
      </c>
      <c r="Y40" s="86"/>
      <c r="AB40" s="86"/>
      <c r="AE40" s="91"/>
      <c r="AF40" s="86"/>
      <c r="AH40" s="91"/>
      <c r="AI40" s="86"/>
    </row>
    <row r="41" spans="1:35" x14ac:dyDescent="0.3">
      <c r="A41" s="70" t="s">
        <v>128</v>
      </c>
      <c r="B41" s="70">
        <f>B38/B$33</f>
        <v>15.410901483557408</v>
      </c>
      <c r="C41" s="70">
        <f t="shared" ref="C41:V42" si="17">C38/C$33</f>
        <v>15.33480353237262</v>
      </c>
      <c r="D41" s="70">
        <f t="shared" si="17"/>
        <v>15.314015295058525</v>
      </c>
      <c r="E41" s="70">
        <f t="shared" si="17"/>
        <v>15.187956855693722</v>
      </c>
      <c r="F41" s="70">
        <f t="shared" si="17"/>
        <v>15.405670195830986</v>
      </c>
      <c r="G41" s="70">
        <f t="shared" si="17"/>
        <v>15.192578800879092</v>
      </c>
      <c r="H41" s="70">
        <f t="shared" si="17"/>
        <v>15.469399820725883</v>
      </c>
      <c r="I41" s="70">
        <f t="shared" si="17"/>
        <v>15.126182061361419</v>
      </c>
      <c r="J41" s="70">
        <f t="shared" si="17"/>
        <v>15.283653145602923</v>
      </c>
      <c r="K41" s="70">
        <f t="shared" si="17"/>
        <v>15.594816593648234</v>
      </c>
      <c r="L41" s="70">
        <f t="shared" si="17"/>
        <v>15.786837602173616</v>
      </c>
      <c r="M41" s="70">
        <f t="shared" si="17"/>
        <v>16.183639670580419</v>
      </c>
      <c r="N41" s="70">
        <f t="shared" si="17"/>
        <v>16.529685442177747</v>
      </c>
      <c r="O41" s="70">
        <f t="shared" si="17"/>
        <v>15.983575903239606</v>
      </c>
      <c r="P41" s="70">
        <f t="shared" si="17"/>
        <v>15.903074067536632</v>
      </c>
      <c r="Q41" s="70">
        <f t="shared" si="17"/>
        <v>15.707422345107917</v>
      </c>
      <c r="R41" s="70">
        <f t="shared" si="17"/>
        <v>15.820835628832802</v>
      </c>
      <c r="S41" s="70">
        <f t="shared" si="17"/>
        <v>15.449625260833667</v>
      </c>
      <c r="T41" s="70">
        <f t="shared" si="17"/>
        <v>15.736569022057056</v>
      </c>
      <c r="U41" s="70">
        <f>U38/U$33</f>
        <v>15.49781469599435</v>
      </c>
      <c r="V41" s="70">
        <f>V38/V$33</f>
        <v>16.262473422754255</v>
      </c>
      <c r="Y41" s="86"/>
      <c r="AB41" s="86"/>
      <c r="AE41" s="91"/>
      <c r="AF41" s="86"/>
      <c r="AH41" s="91"/>
      <c r="AI41" s="86"/>
    </row>
    <row r="42" spans="1:35" x14ac:dyDescent="0.3">
      <c r="A42" s="70" t="s">
        <v>127</v>
      </c>
      <c r="B42" s="70">
        <f>B39/B$33</f>
        <v>21.709628107941903</v>
      </c>
      <c r="C42" s="70">
        <f t="shared" si="17"/>
        <v>22.902865441649915</v>
      </c>
      <c r="D42" s="70">
        <f t="shared" si="17"/>
        <v>23.054465615499989</v>
      </c>
      <c r="E42" s="70">
        <f t="shared" si="17"/>
        <v>22.957864446840787</v>
      </c>
      <c r="F42" s="70">
        <f t="shared" si="17"/>
        <v>23.065645491226057</v>
      </c>
      <c r="G42" s="70">
        <f t="shared" si="17"/>
        <v>21.952792135744829</v>
      </c>
      <c r="H42" s="70">
        <f t="shared" si="17"/>
        <v>23.642860096630933</v>
      </c>
      <c r="I42" s="70">
        <f t="shared" si="17"/>
        <v>23.884609449957974</v>
      </c>
      <c r="J42" s="70">
        <f t="shared" si="17"/>
        <v>24.237472944474014</v>
      </c>
      <c r="K42" s="70">
        <f t="shared" si="17"/>
        <v>24.138283630208875</v>
      </c>
      <c r="L42" s="70">
        <f t="shared" si="17"/>
        <v>24.868015937585152</v>
      </c>
      <c r="M42" s="70">
        <f t="shared" si="17"/>
        <v>25.848475246096989</v>
      </c>
      <c r="N42" s="70">
        <f t="shared" si="17"/>
        <v>21.932443021216336</v>
      </c>
      <c r="O42" s="70">
        <f t="shared" si="17"/>
        <v>21.908027083587761</v>
      </c>
      <c r="P42" s="70">
        <f t="shared" si="17"/>
        <v>22.367959266175266</v>
      </c>
      <c r="Q42" s="70">
        <f t="shared" si="17"/>
        <v>22.296716608556686</v>
      </c>
      <c r="R42" s="70">
        <f t="shared" si="17"/>
        <v>22.418030055830069</v>
      </c>
      <c r="S42" s="70">
        <f t="shared" si="17"/>
        <v>24.698945593547808</v>
      </c>
      <c r="T42" s="70">
        <f t="shared" si="17"/>
        <v>23.939187685096766</v>
      </c>
      <c r="U42" s="70">
        <f t="shared" si="17"/>
        <v>22.872323767893739</v>
      </c>
      <c r="V42" s="70">
        <f t="shared" si="17"/>
        <v>24.148670634970117</v>
      </c>
      <c r="Y42" s="86"/>
      <c r="AB42" s="86"/>
      <c r="AE42" s="91"/>
      <c r="AF42" s="86"/>
      <c r="AH42" s="91"/>
      <c r="AI42" s="86"/>
    </row>
    <row r="43" spans="1:35" x14ac:dyDescent="0.3">
      <c r="A43" s="74" t="s">
        <v>131</v>
      </c>
      <c r="Y43" s="86"/>
      <c r="AB43" s="86"/>
      <c r="AE43" s="91"/>
      <c r="AF43" s="86"/>
      <c r="AH43" s="91"/>
      <c r="AI43" s="86"/>
    </row>
    <row r="44" spans="1:35" x14ac:dyDescent="0.3">
      <c r="A44" s="70" t="s">
        <v>126</v>
      </c>
      <c r="B44" s="70">
        <v>100</v>
      </c>
      <c r="C44" s="69">
        <f>C33/B33*B44</f>
        <v>100.88025649392934</v>
      </c>
      <c r="D44" s="69">
        <f t="shared" ref="D44:V44" si="18">D33/C33*C44</f>
        <v>102.09201763615263</v>
      </c>
      <c r="E44" s="69">
        <f t="shared" si="18"/>
        <v>103.96447600052095</v>
      </c>
      <c r="F44" s="69">
        <f t="shared" si="18"/>
        <v>106.30151499409541</v>
      </c>
      <c r="G44" s="69">
        <f t="shared" si="18"/>
        <v>107.25376773017211</v>
      </c>
      <c r="H44" s="69">
        <f t="shared" si="18"/>
        <v>106.85222771299253</v>
      </c>
      <c r="I44" s="69">
        <f t="shared" si="18"/>
        <v>108.3536127626509</v>
      </c>
      <c r="J44" s="69">
        <f t="shared" si="18"/>
        <v>109.00149114168184</v>
      </c>
      <c r="K44" s="69">
        <f t="shared" si="18"/>
        <v>108.79118016766927</v>
      </c>
      <c r="L44" s="69">
        <f t="shared" si="18"/>
        <v>108.43090628928145</v>
      </c>
      <c r="M44" s="69">
        <f t="shared" si="18"/>
        <v>109.07538972356073</v>
      </c>
      <c r="N44" s="69">
        <f t="shared" si="18"/>
        <v>109.82862845695367</v>
      </c>
      <c r="O44" s="69">
        <f t="shared" si="18"/>
        <v>111.25348091587409</v>
      </c>
      <c r="P44" s="69">
        <f t="shared" si="18"/>
        <v>112.91325769825667</v>
      </c>
      <c r="Q44" s="69">
        <f t="shared" si="18"/>
        <v>114.55096733975343</v>
      </c>
      <c r="R44" s="69">
        <f t="shared" si="18"/>
        <v>116.09885727915659</v>
      </c>
      <c r="S44" s="69">
        <f t="shared" si="18"/>
        <v>115.50690768823279</v>
      </c>
      <c r="T44" s="69">
        <f t="shared" si="18"/>
        <v>117.62558734739204</v>
      </c>
      <c r="U44" s="69">
        <f t="shared" si="18"/>
        <v>119.11102201007063</v>
      </c>
      <c r="V44" s="69">
        <f t="shared" si="18"/>
        <v>116.85859323440185</v>
      </c>
      <c r="Y44" s="86"/>
      <c r="AB44" s="86"/>
      <c r="AE44" s="91"/>
      <c r="AF44" s="86"/>
      <c r="AH44" s="91"/>
      <c r="AI44" s="86"/>
    </row>
    <row r="45" spans="1:35" x14ac:dyDescent="0.3">
      <c r="A45" s="70" t="s">
        <v>128</v>
      </c>
      <c r="B45" s="70">
        <v>100</v>
      </c>
      <c r="C45" s="69">
        <f>C41/B41*B45</f>
        <v>99.506207010238938</v>
      </c>
      <c r="D45" s="69">
        <f t="shared" ref="D45:T46" si="19">D41/C41*C45</f>
        <v>99.37131394550633</v>
      </c>
      <c r="E45" s="69">
        <f t="shared" si="19"/>
        <v>98.553331691195638</v>
      </c>
      <c r="F45" s="69">
        <f t="shared" si="19"/>
        <v>99.966054628718481</v>
      </c>
      <c r="G45" s="69">
        <f t="shared" si="19"/>
        <v>98.583323091700663</v>
      </c>
      <c r="H45" s="69">
        <f t="shared" si="19"/>
        <v>100.37959062440888</v>
      </c>
      <c r="I45" s="69">
        <f t="shared" si="19"/>
        <v>98.152480421085215</v>
      </c>
      <c r="J45" s="69">
        <f t="shared" si="19"/>
        <v>99.17429659718313</v>
      </c>
      <c r="K45" s="69">
        <f t="shared" si="19"/>
        <v>101.19340916095695</v>
      </c>
      <c r="L45" s="69">
        <f t="shared" si="19"/>
        <v>102.43941679217994</v>
      </c>
      <c r="M45" s="69">
        <f t="shared" si="19"/>
        <v>105.01423091859667</v>
      </c>
      <c r="N45" s="69">
        <f t="shared" si="19"/>
        <v>107.25969184744979</v>
      </c>
      <c r="O45" s="69">
        <f t="shared" si="19"/>
        <v>103.71603452460718</v>
      </c>
      <c r="P45" s="69">
        <f t="shared" si="19"/>
        <v>103.19366511105365</v>
      </c>
      <c r="Q45" s="69">
        <f t="shared" si="19"/>
        <v>101.92409809294335</v>
      </c>
      <c r="R45" s="69">
        <f t="shared" si="19"/>
        <v>102.66002703159688</v>
      </c>
      <c r="S45" s="69">
        <f t="shared" si="19"/>
        <v>100.2512752243441</v>
      </c>
      <c r="T45" s="69">
        <f t="shared" si="19"/>
        <v>102.11322834583764</v>
      </c>
      <c r="U45" s="69">
        <f>U41/T41*T45</f>
        <v>100.56397227981552</v>
      </c>
      <c r="V45" s="69">
        <f>V41/U41*U45</f>
        <v>105.52577628314235</v>
      </c>
      <c r="Y45" s="89">
        <f>M45-B45</f>
        <v>5.0142309185966667</v>
      </c>
      <c r="Z45" s="69">
        <f>N45-M45</f>
        <v>2.2454609288531202</v>
      </c>
      <c r="AA45" s="69">
        <f>R45-N45</f>
        <v>-4.5996648158529041</v>
      </c>
      <c r="AB45" s="89">
        <f>R45-B45</f>
        <v>2.6600270315968828</v>
      </c>
      <c r="AC45" s="69">
        <f>S45-R45</f>
        <v>-2.4087518072527843</v>
      </c>
      <c r="AD45" s="69">
        <f>U45-S45</f>
        <v>0.31269705547141768</v>
      </c>
      <c r="AE45" s="92">
        <f>U45-R45</f>
        <v>-2.0960547517813666</v>
      </c>
      <c r="AF45" s="89">
        <f>U45-B45</f>
        <v>0.56397227981551623</v>
      </c>
      <c r="AG45" s="69">
        <f>V45-U45</f>
        <v>4.9618040033268329</v>
      </c>
      <c r="AH45" s="92">
        <f>V45-R45</f>
        <v>2.8657492515454663</v>
      </c>
      <c r="AI45" s="88">
        <f>(V45-B45)</f>
        <v>5.5257762831423491</v>
      </c>
    </row>
    <row r="46" spans="1:35" x14ac:dyDescent="0.3">
      <c r="A46" s="70" t="s">
        <v>127</v>
      </c>
      <c r="B46" s="70">
        <v>100</v>
      </c>
      <c r="C46" s="69">
        <f>C42/B42*B46</f>
        <v>105.49635087148958</v>
      </c>
      <c r="D46" s="69">
        <f t="shared" si="19"/>
        <v>106.19465935054923</v>
      </c>
      <c r="E46" s="69">
        <f t="shared" si="19"/>
        <v>105.74969010382196</v>
      </c>
      <c r="F46" s="69">
        <f t="shared" si="19"/>
        <v>106.24615666625857</v>
      </c>
      <c r="G46" s="69">
        <f t="shared" si="19"/>
        <v>101.12007458899755</v>
      </c>
      <c r="H46" s="69">
        <f t="shared" si="19"/>
        <v>108.90495212113656</v>
      </c>
      <c r="I46" s="69">
        <f t="shared" si="19"/>
        <v>110.01851036416608</v>
      </c>
      <c r="J46" s="69">
        <f t="shared" si="19"/>
        <v>111.64388825070368</v>
      </c>
      <c r="K46" s="69">
        <f t="shared" si="19"/>
        <v>111.18699735523573</v>
      </c>
      <c r="L46" s="69">
        <f t="shared" si="19"/>
        <v>114.54832765416116</v>
      </c>
      <c r="M46" s="69">
        <f t="shared" si="19"/>
        <v>119.06456949689066</v>
      </c>
      <c r="N46" s="69">
        <f t="shared" si="19"/>
        <v>101.0263414562727</v>
      </c>
      <c r="O46" s="69">
        <f t="shared" si="19"/>
        <v>100.913875514861</v>
      </c>
      <c r="P46" s="69">
        <f t="shared" si="19"/>
        <v>103.03243867172711</v>
      </c>
      <c r="Q46" s="69">
        <f t="shared" si="19"/>
        <v>102.70427709629911</v>
      </c>
      <c r="R46" s="69">
        <f t="shared" si="19"/>
        <v>103.26307730545149</v>
      </c>
      <c r="S46" s="69">
        <f t="shared" si="19"/>
        <v>113.76954718313367</v>
      </c>
      <c r="T46" s="69">
        <f t="shared" si="19"/>
        <v>110.26991142395129</v>
      </c>
      <c r="U46" s="69">
        <f t="shared" ref="U46:V46" si="20">U42/T42*T46</f>
        <v>105.35566825083704</v>
      </c>
      <c r="V46" s="69">
        <f t="shared" si="20"/>
        <v>111.23484250813101</v>
      </c>
      <c r="Y46" s="89">
        <f>M46-B46</f>
        <v>19.064569496890655</v>
      </c>
      <c r="Z46" s="69">
        <f>N46-M46</f>
        <v>-18.038228040617952</v>
      </c>
      <c r="AA46" s="69">
        <f>R46-N46</f>
        <v>2.2367358491787854</v>
      </c>
      <c r="AB46" s="89">
        <f>R46-B46</f>
        <v>3.263077305451489</v>
      </c>
      <c r="AC46" s="69">
        <f>S46-R46</f>
        <v>10.506469877682179</v>
      </c>
      <c r="AD46" s="69">
        <f>U46-S46</f>
        <v>-8.4138789322966261</v>
      </c>
      <c r="AE46" s="92">
        <f>U46-R46</f>
        <v>2.0925909453855525</v>
      </c>
      <c r="AF46" s="89">
        <f>U46-B46</f>
        <v>5.3556682508370415</v>
      </c>
      <c r="AG46" s="69">
        <f>V46-U46</f>
        <v>5.8791742572939683</v>
      </c>
      <c r="AH46" s="92">
        <f>V46-R46</f>
        <v>7.9717652026795207</v>
      </c>
      <c r="AI46" s="88">
        <f>(V46-B46)</f>
        <v>11.23484250813101</v>
      </c>
    </row>
    <row r="47" spans="1:35" x14ac:dyDescent="0.3">
      <c r="A47" s="74" t="s">
        <v>133</v>
      </c>
      <c r="B47" s="69">
        <f>B41/B42</f>
        <v>0.70986483079918494</v>
      </c>
      <c r="C47" s="69">
        <f t="shared" ref="C47:V47" si="21">C41/C42</f>
        <v>0.66955829485360263</v>
      </c>
      <c r="D47" s="69">
        <f t="shared" si="21"/>
        <v>0.66425375241673779</v>
      </c>
      <c r="E47" s="69">
        <f t="shared" si="21"/>
        <v>0.66155791148874576</v>
      </c>
      <c r="F47" s="69">
        <f t="shared" si="21"/>
        <v>0.66790544412429953</v>
      </c>
      <c r="G47" s="69">
        <f t="shared" si="21"/>
        <v>0.69205678744352706</v>
      </c>
      <c r="H47" s="69">
        <f t="shared" si="21"/>
        <v>0.65429477472271835</v>
      </c>
      <c r="I47" s="69">
        <f t="shared" si="21"/>
        <v>0.63330246588511974</v>
      </c>
      <c r="J47" s="69">
        <f t="shared" si="21"/>
        <v>0.63057948246570383</v>
      </c>
      <c r="K47" s="69">
        <f t="shared" si="21"/>
        <v>0.64606153579749315</v>
      </c>
      <c r="L47" s="69">
        <f t="shared" si="21"/>
        <v>0.63482497525319748</v>
      </c>
      <c r="M47" s="69">
        <f t="shared" si="21"/>
        <v>0.62609649182398408</v>
      </c>
      <c r="N47" s="69">
        <f t="shared" si="21"/>
        <v>0.75366366738934487</v>
      </c>
      <c r="O47" s="69">
        <f t="shared" si="21"/>
        <v>0.72957623442110797</v>
      </c>
      <c r="P47" s="69">
        <f t="shared" si="21"/>
        <v>0.71097563610039272</v>
      </c>
      <c r="Q47" s="69">
        <f t="shared" si="21"/>
        <v>0.70447243963624528</v>
      </c>
      <c r="R47" s="69">
        <f t="shared" si="21"/>
        <v>0.70571926210431724</v>
      </c>
      <c r="S47" s="69">
        <f t="shared" si="21"/>
        <v>0.62551760366926867</v>
      </c>
      <c r="T47" s="69">
        <f t="shared" si="21"/>
        <v>0.65735601512718778</v>
      </c>
      <c r="U47" s="69">
        <f t="shared" si="21"/>
        <v>0.67757936855322454</v>
      </c>
      <c r="V47" s="69">
        <f t="shared" si="21"/>
        <v>0.67343141444830834</v>
      </c>
      <c r="Y47" s="87">
        <f>(M47-B47)/B47</f>
        <v>-0.11800604191208094</v>
      </c>
      <c r="Z47" s="79">
        <f>(N47-M47)/M47</f>
        <v>0.20375002452692872</v>
      </c>
      <c r="AA47" s="79">
        <f>(R47-N47)/N47</f>
        <v>-6.3615120855042381E-2</v>
      </c>
      <c r="AB47" s="87">
        <f>(R47-B47)/B47</f>
        <v>-5.839940950730739E-3</v>
      </c>
      <c r="AE47" s="93">
        <f>(U47-R47)/R47</f>
        <v>-3.9874061914060586E-2</v>
      </c>
      <c r="AF47" s="87">
        <f>(U47-B47)/B47</f>
        <v>-4.5481140697747433E-2</v>
      </c>
      <c r="AG47" s="79">
        <f>(V47-U47)/U47</f>
        <v>-6.1217243284324855E-3</v>
      </c>
      <c r="AH47" s="93">
        <f>(V47-R47)/V47</f>
        <v>-4.7945265045973386E-2</v>
      </c>
      <c r="AI47" s="87">
        <f>(V47-B47)/B47</f>
        <v>-5.1324442020685659E-2</v>
      </c>
    </row>
    <row r="48" spans="1:35" x14ac:dyDescent="0.3">
      <c r="A48" s="74" t="s">
        <v>134</v>
      </c>
      <c r="B48" s="69">
        <f>1-B47</f>
        <v>0.29013516920081506</v>
      </c>
      <c r="C48" s="69">
        <f t="shared" ref="C48:V48" si="22">1-C47</f>
        <v>0.33044170514639737</v>
      </c>
      <c r="D48" s="69">
        <f t="shared" si="22"/>
        <v>0.33574624758326221</v>
      </c>
      <c r="E48" s="69">
        <f t="shared" si="22"/>
        <v>0.33844208851125424</v>
      </c>
      <c r="F48" s="69">
        <f t="shared" si="22"/>
        <v>0.33209455587570047</v>
      </c>
      <c r="G48" s="69">
        <f t="shared" si="22"/>
        <v>0.30794321255647294</v>
      </c>
      <c r="H48" s="69">
        <f t="shared" si="22"/>
        <v>0.34570522527728165</v>
      </c>
      <c r="I48" s="69">
        <f t="shared" si="22"/>
        <v>0.36669753411488026</v>
      </c>
      <c r="J48" s="69">
        <f t="shared" si="22"/>
        <v>0.36942051753429617</v>
      </c>
      <c r="K48" s="69">
        <f t="shared" si="22"/>
        <v>0.35393846420250685</v>
      </c>
      <c r="L48" s="69">
        <f t="shared" si="22"/>
        <v>0.36517502474680252</v>
      </c>
      <c r="M48" s="69">
        <f t="shared" si="22"/>
        <v>0.37390350817601592</v>
      </c>
      <c r="N48" s="69">
        <f t="shared" si="22"/>
        <v>0.24633633261065513</v>
      </c>
      <c r="O48" s="69">
        <f t="shared" si="22"/>
        <v>0.27042376557889203</v>
      </c>
      <c r="P48" s="69">
        <f t="shared" si="22"/>
        <v>0.28902436389960728</v>
      </c>
      <c r="Q48" s="69">
        <f t="shared" si="22"/>
        <v>0.29552756036375472</v>
      </c>
      <c r="R48" s="69">
        <f t="shared" si="22"/>
        <v>0.29428073789568276</v>
      </c>
      <c r="S48" s="69">
        <f t="shared" si="22"/>
        <v>0.37448239633073133</v>
      </c>
      <c r="T48" s="69">
        <f t="shared" si="22"/>
        <v>0.34264398487281222</v>
      </c>
      <c r="U48" s="69">
        <f t="shared" si="22"/>
        <v>0.32242063144677546</v>
      </c>
      <c r="V48" s="69">
        <f t="shared" si="22"/>
        <v>0.32656858555169166</v>
      </c>
      <c r="Y48" s="86"/>
      <c r="AB48" s="86"/>
      <c r="AE48" s="91"/>
      <c r="AF48" s="86"/>
      <c r="AH48" s="91"/>
      <c r="AI48" s="86"/>
    </row>
    <row r="49" spans="1:35" x14ac:dyDescent="0.3">
      <c r="A49" s="74" t="s">
        <v>234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Y49" s="86"/>
      <c r="AB49" s="86"/>
      <c r="AE49" s="91"/>
      <c r="AF49" s="86"/>
      <c r="AH49" s="91"/>
      <c r="AI49" s="86"/>
    </row>
    <row r="50" spans="1:35" x14ac:dyDescent="0.3">
      <c r="A50" s="70" t="s">
        <v>128</v>
      </c>
      <c r="B50" s="69">
        <f>B38/B$34</f>
        <v>15.346033815752484</v>
      </c>
      <c r="C50" s="69">
        <f t="shared" ref="C50:V51" si="23">C38/C$34</f>
        <v>15.272595209485944</v>
      </c>
      <c r="D50" s="69">
        <f t="shared" si="23"/>
        <v>15.256071258833618</v>
      </c>
      <c r="E50" s="69">
        <f t="shared" si="23"/>
        <v>15.127838230659492</v>
      </c>
      <c r="F50" s="69">
        <f t="shared" si="23"/>
        <v>15.344463994352367</v>
      </c>
      <c r="G50" s="69">
        <f t="shared" si="23"/>
        <v>15.13121075104336</v>
      </c>
      <c r="H50" s="69">
        <f t="shared" si="23"/>
        <v>15.406557851246289</v>
      </c>
      <c r="I50" s="69">
        <f t="shared" si="23"/>
        <v>15.063146944948379</v>
      </c>
      <c r="J50" s="69">
        <f t="shared" si="23"/>
        <v>15.218133335219367</v>
      </c>
      <c r="K50" s="69">
        <f t="shared" si="23"/>
        <v>15.528374896873604</v>
      </c>
      <c r="L50" s="69">
        <f t="shared" si="23"/>
        <v>15.717952801643648</v>
      </c>
      <c r="M50" s="69">
        <f t="shared" si="23"/>
        <v>16.113077293350866</v>
      </c>
      <c r="N50" s="69">
        <f t="shared" si="23"/>
        <v>16.455124492606249</v>
      </c>
      <c r="O50" s="69">
        <f t="shared" si="23"/>
        <v>15.910372500186051</v>
      </c>
      <c r="P50" s="69">
        <f t="shared" si="23"/>
        <v>15.828054245472003</v>
      </c>
      <c r="Q50" s="69">
        <f t="shared" si="23"/>
        <v>15.631462149085962</v>
      </c>
      <c r="R50" s="69">
        <f t="shared" si="23"/>
        <v>15.742233946675068</v>
      </c>
      <c r="S50" s="69">
        <f t="shared" si="23"/>
        <v>15.371472729097702</v>
      </c>
      <c r="T50" s="69">
        <f t="shared" si="23"/>
        <v>15.653380773208571</v>
      </c>
      <c r="U50" s="69">
        <f t="shared" si="23"/>
        <v>15.41329574545324</v>
      </c>
      <c r="V50" s="69">
        <f t="shared" si="23"/>
        <v>16.172160887838448</v>
      </c>
      <c r="Y50" s="86"/>
      <c r="AB50" s="86"/>
      <c r="AE50" s="91"/>
      <c r="AF50" s="86"/>
      <c r="AH50" s="91"/>
      <c r="AI50" s="86"/>
    </row>
    <row r="51" spans="1:35" x14ac:dyDescent="0.3">
      <c r="A51" s="70" t="s">
        <v>127</v>
      </c>
      <c r="B51" s="69">
        <f>B39/B$34</f>
        <v>21.618247798634432</v>
      </c>
      <c r="C51" s="69">
        <f t="shared" si="23"/>
        <v>22.809955946890724</v>
      </c>
      <c r="D51" s="69">
        <f t="shared" si="23"/>
        <v>22.967233836960403</v>
      </c>
      <c r="E51" s="69">
        <f t="shared" si="23"/>
        <v>22.866990127313809</v>
      </c>
      <c r="F51" s="69">
        <f t="shared" si="23"/>
        <v>22.974006469539589</v>
      </c>
      <c r="G51" s="69">
        <f t="shared" si="23"/>
        <v>21.864117259709836</v>
      </c>
      <c r="H51" s="69">
        <f t="shared" si="23"/>
        <v>23.546814748406618</v>
      </c>
      <c r="I51" s="69">
        <f t="shared" si="23"/>
        <v>23.785075467684688</v>
      </c>
      <c r="J51" s="69">
        <f t="shared" si="23"/>
        <v>24.133568817864376</v>
      </c>
      <c r="K51" s="69">
        <f t="shared" si="23"/>
        <v>24.03544250271068</v>
      </c>
      <c r="L51" s="69">
        <f t="shared" si="23"/>
        <v>24.759506028216048</v>
      </c>
      <c r="M51" s="69">
        <f t="shared" si="23"/>
        <v>25.735773165585428</v>
      </c>
      <c r="N51" s="69">
        <f t="shared" si="23"/>
        <v>21.833511690441465</v>
      </c>
      <c r="O51" s="69">
        <f t="shared" si="23"/>
        <v>21.807690203629441</v>
      </c>
      <c r="P51" s="69">
        <f t="shared" si="23"/>
        <v>22.262442539222285</v>
      </c>
      <c r="Q51" s="69">
        <f t="shared" si="23"/>
        <v>22.188890962373598</v>
      </c>
      <c r="R51" s="69">
        <f t="shared" si="23"/>
        <v>22.306651939377133</v>
      </c>
      <c r="S51" s="69">
        <f t="shared" si="23"/>
        <v>24.574005014293888</v>
      </c>
      <c r="T51" s="69">
        <f t="shared" si="23"/>
        <v>23.812637920685791</v>
      </c>
      <c r="U51" s="69">
        <f t="shared" si="23"/>
        <v>22.747587162170966</v>
      </c>
      <c r="V51" s="69">
        <f t="shared" si="23"/>
        <v>24.014562642711109</v>
      </c>
      <c r="Y51" s="86"/>
      <c r="AB51" s="86"/>
      <c r="AE51" s="91"/>
      <c r="AF51" s="86"/>
      <c r="AH51" s="91"/>
      <c r="AI51" s="86"/>
    </row>
    <row r="52" spans="1:35" x14ac:dyDescent="0.3">
      <c r="A52" s="74" t="s">
        <v>131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Y52" s="86"/>
      <c r="AB52" s="86"/>
      <c r="AE52" s="91"/>
      <c r="AF52" s="86"/>
      <c r="AH52" s="91"/>
      <c r="AI52" s="86"/>
    </row>
    <row r="53" spans="1:35" x14ac:dyDescent="0.3">
      <c r="A53" s="70" t="s">
        <v>126</v>
      </c>
      <c r="B53" s="70">
        <v>100</v>
      </c>
      <c r="C53" s="69">
        <f>C34/B34*B53</f>
        <v>100.86480645168811</v>
      </c>
      <c r="D53" s="69">
        <f t="shared" ref="D53:V53" si="24">D34/C34*C53</f>
        <v>102.04841447293261</v>
      </c>
      <c r="E53" s="69">
        <f t="shared" si="24"/>
        <v>103.93828789655663</v>
      </c>
      <c r="F53" s="69">
        <f t="shared" si="24"/>
        <v>106.2763020766546</v>
      </c>
      <c r="G53" s="69">
        <f t="shared" si="24"/>
        <v>107.23547542497161</v>
      </c>
      <c r="H53" s="69">
        <f t="shared" si="24"/>
        <v>106.83647073635322</v>
      </c>
      <c r="I53" s="69">
        <f t="shared" si="24"/>
        <v>108.34905143491306</v>
      </c>
      <c r="J53" s="69">
        <f t="shared" si="24"/>
        <v>109.00999857779351</v>
      </c>
      <c r="K53" s="69">
        <f t="shared" si="24"/>
        <v>108.79678418133363</v>
      </c>
      <c r="L53" s="69">
        <f t="shared" si="24"/>
        <v>108.44770243710231</v>
      </c>
      <c r="M53" s="69">
        <f t="shared" si="24"/>
        <v>109.09192116779469</v>
      </c>
      <c r="N53" s="69">
        <f t="shared" si="24"/>
        <v>109.86189442565006</v>
      </c>
      <c r="O53" s="69">
        <f t="shared" si="24"/>
        <v>111.29491316380319</v>
      </c>
      <c r="P53" s="69">
        <f t="shared" si="24"/>
        <v>112.9709018887368</v>
      </c>
      <c r="Q53" s="69">
        <f t="shared" si="24"/>
        <v>114.62310945627412</v>
      </c>
      <c r="R53" s="69">
        <f t="shared" si="24"/>
        <v>116.18742000088594</v>
      </c>
      <c r="S53" s="69">
        <f t="shared" si="24"/>
        <v>115.60551023405785</v>
      </c>
      <c r="T53" s="69">
        <f t="shared" si="24"/>
        <v>117.75295457565785</v>
      </c>
      <c r="U53" s="69">
        <f t="shared" si="24"/>
        <v>119.26005628207247</v>
      </c>
      <c r="V53" s="69">
        <f t="shared" si="24"/>
        <v>117.0165547164796</v>
      </c>
      <c r="Y53" s="86"/>
      <c r="AB53" s="86"/>
      <c r="AE53" s="91"/>
      <c r="AF53" s="86"/>
      <c r="AH53" s="91"/>
      <c r="AI53" s="86"/>
    </row>
    <row r="54" spans="1:35" x14ac:dyDescent="0.3">
      <c r="A54" s="70" t="s">
        <v>128</v>
      </c>
      <c r="B54" s="70">
        <v>100</v>
      </c>
      <c r="C54" s="69">
        <f>C50/B50*B54</f>
        <v>99.521448947993605</v>
      </c>
      <c r="D54" s="69">
        <f t="shared" ref="D54:V55" si="25">D50/C50*C54</f>
        <v>99.413773239398694</v>
      </c>
      <c r="E54" s="69">
        <f t="shared" si="25"/>
        <v>98.578163011285568</v>
      </c>
      <c r="F54" s="69">
        <f t="shared" si="25"/>
        <v>99.989770507357363</v>
      </c>
      <c r="G54" s="69">
        <f t="shared" si="25"/>
        <v>98.600139506478783</v>
      </c>
      <c r="H54" s="69">
        <f t="shared" si="25"/>
        <v>100.39439529601242</v>
      </c>
      <c r="I54" s="69">
        <f t="shared" si="25"/>
        <v>98.15661248893035</v>
      </c>
      <c r="J54" s="69">
        <f t="shared" si="25"/>
        <v>99.166556765945415</v>
      </c>
      <c r="K54" s="69">
        <f t="shared" si="25"/>
        <v>101.18819678954407</v>
      </c>
      <c r="L54" s="69">
        <f t="shared" si="25"/>
        <v>102.42355119476795</v>
      </c>
      <c r="M54" s="69">
        <f t="shared" si="25"/>
        <v>104.99831739462884</v>
      </c>
      <c r="N54" s="69">
        <f t="shared" si="25"/>
        <v>107.2272138206505</v>
      </c>
      <c r="O54" s="69">
        <f t="shared" si="25"/>
        <v>103.67742369923803</v>
      </c>
      <c r="P54" s="69">
        <f t="shared" si="25"/>
        <v>103.14100982381996</v>
      </c>
      <c r="Q54" s="69">
        <f t="shared" si="25"/>
        <v>101.85994854931499</v>
      </c>
      <c r="R54" s="69">
        <f t="shared" si="25"/>
        <v>102.58177543252829</v>
      </c>
      <c r="S54" s="69">
        <f t="shared" si="25"/>
        <v>100.1657686516962</v>
      </c>
      <c r="T54" s="69">
        <f t="shared" si="25"/>
        <v>102.00277779357293</v>
      </c>
      <c r="U54" s="69">
        <f t="shared" si="25"/>
        <v>100.43830171696682</v>
      </c>
      <c r="V54" s="69">
        <f t="shared" si="25"/>
        <v>105.38332628485381</v>
      </c>
      <c r="Y54" s="89">
        <f>M54-B54</f>
        <v>4.9983173946288417</v>
      </c>
      <c r="Z54" s="69">
        <f>N54-M54</f>
        <v>2.228896426021663</v>
      </c>
      <c r="AA54" s="69">
        <f>R54-N54</f>
        <v>-4.6454383881222157</v>
      </c>
      <c r="AB54" s="89">
        <f>R54-B54</f>
        <v>2.5817754325282891</v>
      </c>
      <c r="AC54" s="69">
        <f>S54-R54</f>
        <v>-2.4160067808320917</v>
      </c>
      <c r="AD54" s="69">
        <f>U54-S54</f>
        <v>0.27253306527062193</v>
      </c>
      <c r="AE54" s="92">
        <f>U54-R54</f>
        <v>-2.1434737155614698</v>
      </c>
      <c r="AF54" s="89">
        <f>U54-B54</f>
        <v>0.4383017169668193</v>
      </c>
      <c r="AG54" s="69">
        <f>V54-U54</f>
        <v>4.9450245678869891</v>
      </c>
      <c r="AH54" s="92">
        <f>V54-R54</f>
        <v>2.8015508523255193</v>
      </c>
      <c r="AI54" s="88">
        <f>(V54-B54)</f>
        <v>5.3833262848538084</v>
      </c>
    </row>
    <row r="55" spans="1:35" x14ac:dyDescent="0.3">
      <c r="A55" s="70" t="s">
        <v>127</v>
      </c>
      <c r="B55" s="70">
        <v>100</v>
      </c>
      <c r="C55" s="69">
        <f>C51/B51*B55</f>
        <v>105.51251035401476</v>
      </c>
      <c r="D55" s="69">
        <f t="shared" si="25"/>
        <v>106.24003411789545</v>
      </c>
      <c r="E55" s="69">
        <f t="shared" si="25"/>
        <v>105.77633460542651</v>
      </c>
      <c r="F55" s="69">
        <f t="shared" si="25"/>
        <v>106.27136243202278</v>
      </c>
      <c r="G55" s="69">
        <f t="shared" si="25"/>
        <v>101.13732372468657</v>
      </c>
      <c r="H55" s="69">
        <f t="shared" si="25"/>
        <v>108.92101417162036</v>
      </c>
      <c r="I55" s="69">
        <f t="shared" si="25"/>
        <v>110.02314197354667</v>
      </c>
      <c r="J55" s="69">
        <f t="shared" si="25"/>
        <v>111.63517525869432</v>
      </c>
      <c r="K55" s="69">
        <f t="shared" si="25"/>
        <v>111.18127022407865</v>
      </c>
      <c r="L55" s="69">
        <f t="shared" si="25"/>
        <v>114.53058665457634</v>
      </c>
      <c r="M55" s="69">
        <f t="shared" si="25"/>
        <v>119.04652682911282</v>
      </c>
      <c r="N55" s="69">
        <f t="shared" si="25"/>
        <v>100.99575087589029</v>
      </c>
      <c r="O55" s="69">
        <f t="shared" si="25"/>
        <v>100.87630786157877</v>
      </c>
      <c r="P55" s="69">
        <f t="shared" si="25"/>
        <v>102.97986565140837</v>
      </c>
      <c r="Q55" s="69">
        <f t="shared" si="25"/>
        <v>102.63963651936312</v>
      </c>
      <c r="R55" s="69">
        <f t="shared" si="25"/>
        <v>103.18436603722429</v>
      </c>
      <c r="S55" s="69">
        <f t="shared" si="25"/>
        <v>113.67251057158371</v>
      </c>
      <c r="T55" s="69">
        <f t="shared" si="25"/>
        <v>110.15063821310241</v>
      </c>
      <c r="U55" s="69">
        <f t="shared" si="25"/>
        <v>105.22400970724311</v>
      </c>
      <c r="V55" s="69">
        <f t="shared" si="25"/>
        <v>111.08468580061353</v>
      </c>
      <c r="Y55" s="89">
        <f>M55-B55</f>
        <v>19.046526829112821</v>
      </c>
      <c r="Z55" s="69">
        <f>N55-M55</f>
        <v>-18.050775953222526</v>
      </c>
      <c r="AA55" s="69">
        <f>R55-N55</f>
        <v>2.188615161333999</v>
      </c>
      <c r="AB55" s="89">
        <f>R55-B55</f>
        <v>3.1843660372242937</v>
      </c>
      <c r="AC55" s="69">
        <f>S55-R55</f>
        <v>10.488144534359421</v>
      </c>
      <c r="AD55" s="69">
        <f>U55-S55</f>
        <v>-8.4485008643406019</v>
      </c>
      <c r="AE55" s="92">
        <f>U55-R55</f>
        <v>2.039643670018819</v>
      </c>
      <c r="AF55" s="89">
        <f>U55-B55</f>
        <v>5.2240097072431126</v>
      </c>
      <c r="AG55" s="69">
        <f>V55-U55</f>
        <v>5.8606760933704152</v>
      </c>
      <c r="AH55" s="92">
        <f>V55-R55</f>
        <v>7.9003197633892341</v>
      </c>
      <c r="AI55" s="88">
        <f>(V55-B55)</f>
        <v>11.084685800613528</v>
      </c>
    </row>
    <row r="56" spans="1:35" x14ac:dyDescent="0.3">
      <c r="A56" s="74" t="s">
        <v>133</v>
      </c>
      <c r="B56" s="69">
        <f>B50/B51</f>
        <v>0.70986483079918505</v>
      </c>
      <c r="C56" s="69">
        <f t="shared" ref="C56:V56" si="26">C50/C51</f>
        <v>0.66955829485360252</v>
      </c>
      <c r="D56" s="69">
        <f t="shared" si="26"/>
        <v>0.66425375241673779</v>
      </c>
      <c r="E56" s="69">
        <f t="shared" si="26"/>
        <v>0.66155791148874576</v>
      </c>
      <c r="F56" s="69">
        <f t="shared" si="26"/>
        <v>0.66790544412429942</v>
      </c>
      <c r="G56" s="69">
        <f t="shared" si="26"/>
        <v>0.69205678744352706</v>
      </c>
      <c r="H56" s="69">
        <f t="shared" si="26"/>
        <v>0.65429477472271835</v>
      </c>
      <c r="I56" s="69">
        <f t="shared" si="26"/>
        <v>0.63330246588511963</v>
      </c>
      <c r="J56" s="69">
        <f t="shared" si="26"/>
        <v>0.63057948246570383</v>
      </c>
      <c r="K56" s="69">
        <f t="shared" si="26"/>
        <v>0.64606153579749315</v>
      </c>
      <c r="L56" s="69">
        <f t="shared" si="26"/>
        <v>0.63482497525319748</v>
      </c>
      <c r="M56" s="69">
        <f t="shared" si="26"/>
        <v>0.62609649182398408</v>
      </c>
      <c r="N56" s="69">
        <f t="shared" si="26"/>
        <v>0.75366366738934487</v>
      </c>
      <c r="O56" s="69">
        <f t="shared" si="26"/>
        <v>0.72957623442110786</v>
      </c>
      <c r="P56" s="69">
        <f t="shared" si="26"/>
        <v>0.71097563610039261</v>
      </c>
      <c r="Q56" s="69">
        <f t="shared" si="26"/>
        <v>0.70447243963624528</v>
      </c>
      <c r="R56" s="69">
        <f t="shared" si="26"/>
        <v>0.70571926210431724</v>
      </c>
      <c r="S56" s="69">
        <f t="shared" si="26"/>
        <v>0.62551760366926856</v>
      </c>
      <c r="T56" s="69">
        <f t="shared" si="26"/>
        <v>0.65735601512718767</v>
      </c>
      <c r="U56" s="69">
        <f t="shared" si="26"/>
        <v>0.67757936855322454</v>
      </c>
      <c r="V56" s="69">
        <f t="shared" si="26"/>
        <v>0.67343141444830834</v>
      </c>
      <c r="Y56" s="87">
        <f>(M56-B56)/B56</f>
        <v>-0.11800604191208108</v>
      </c>
      <c r="Z56" s="79">
        <f>(N56-M56)/M56</f>
        <v>0.20375002452692872</v>
      </c>
      <c r="AA56" s="79">
        <f>(R56-N56)/N56</f>
        <v>-6.3615120855042381E-2</v>
      </c>
      <c r="AB56" s="87">
        <f>(R56-B56)/B56</f>
        <v>-5.8399409507308942E-3</v>
      </c>
      <c r="AE56" s="93">
        <f>(U56-R56)/R56</f>
        <v>-3.9874061914060586E-2</v>
      </c>
      <c r="AF56" s="87">
        <f>(U56-B56)/B56</f>
        <v>-4.5481140697747585E-2</v>
      </c>
      <c r="AG56" s="79">
        <f>(V56-U56)/U56</f>
        <v>-6.1217243284324855E-3</v>
      </c>
      <c r="AH56" s="93">
        <f>(V56-R56)/V56</f>
        <v>-4.7945265045973386E-2</v>
      </c>
      <c r="AI56" s="87">
        <f>(V56-B56)/B56</f>
        <v>-5.1324442020685805E-2</v>
      </c>
    </row>
    <row r="57" spans="1:35" x14ac:dyDescent="0.3">
      <c r="A57" s="74" t="s">
        <v>134</v>
      </c>
      <c r="B57" s="69">
        <f>1-B56</f>
        <v>0.29013516920081495</v>
      </c>
      <c r="C57" s="69">
        <f t="shared" ref="C57:V57" si="27">1-C56</f>
        <v>0.33044170514639748</v>
      </c>
      <c r="D57" s="69">
        <f t="shared" si="27"/>
        <v>0.33574624758326221</v>
      </c>
      <c r="E57" s="69">
        <f t="shared" si="27"/>
        <v>0.33844208851125424</v>
      </c>
      <c r="F57" s="69">
        <f t="shared" si="27"/>
        <v>0.33209455587570058</v>
      </c>
      <c r="G57" s="69">
        <f t="shared" si="27"/>
        <v>0.30794321255647294</v>
      </c>
      <c r="H57" s="69">
        <f t="shared" si="27"/>
        <v>0.34570522527728165</v>
      </c>
      <c r="I57" s="69">
        <f t="shared" si="27"/>
        <v>0.36669753411488037</v>
      </c>
      <c r="J57" s="69">
        <f t="shared" si="27"/>
        <v>0.36942051753429617</v>
      </c>
      <c r="K57" s="69">
        <f t="shared" si="27"/>
        <v>0.35393846420250685</v>
      </c>
      <c r="L57" s="69">
        <f t="shared" si="27"/>
        <v>0.36517502474680252</v>
      </c>
      <c r="M57" s="69">
        <f t="shared" si="27"/>
        <v>0.37390350817601592</v>
      </c>
      <c r="N57" s="69">
        <f t="shared" si="27"/>
        <v>0.24633633261065513</v>
      </c>
      <c r="O57" s="69">
        <f t="shared" si="27"/>
        <v>0.27042376557889214</v>
      </c>
      <c r="P57" s="69">
        <f t="shared" si="27"/>
        <v>0.28902436389960739</v>
      </c>
      <c r="Q57" s="69">
        <f t="shared" si="27"/>
        <v>0.29552756036375472</v>
      </c>
      <c r="R57" s="69">
        <f t="shared" si="27"/>
        <v>0.29428073789568276</v>
      </c>
      <c r="S57" s="69">
        <f t="shared" si="27"/>
        <v>0.37448239633073144</v>
      </c>
      <c r="T57" s="69">
        <f t="shared" si="27"/>
        <v>0.34264398487281233</v>
      </c>
      <c r="U57" s="69">
        <f t="shared" si="27"/>
        <v>0.32242063144677546</v>
      </c>
      <c r="V57" s="69">
        <f t="shared" si="27"/>
        <v>0.32656858555169166</v>
      </c>
    </row>
    <row r="59" spans="1:35" x14ac:dyDescent="0.3">
      <c r="A59" s="68"/>
      <c r="B59" s="68">
        <v>2003</v>
      </c>
      <c r="C59" s="68">
        <v>2004</v>
      </c>
      <c r="D59" s="68">
        <v>2005</v>
      </c>
      <c r="E59" s="68">
        <v>2006</v>
      </c>
      <c r="F59" s="68">
        <v>2007</v>
      </c>
      <c r="G59" s="68">
        <v>2008</v>
      </c>
      <c r="H59" s="68">
        <v>2009</v>
      </c>
      <c r="I59" s="68">
        <v>2010</v>
      </c>
      <c r="J59" s="68">
        <v>2011</v>
      </c>
      <c r="K59" s="68">
        <v>2012</v>
      </c>
      <c r="L59" s="68">
        <v>2013</v>
      </c>
      <c r="M59" s="68">
        <v>2014</v>
      </c>
      <c r="N59" s="68">
        <v>2015</v>
      </c>
      <c r="O59" s="68">
        <v>2016</v>
      </c>
      <c r="P59" s="68">
        <v>2017</v>
      </c>
      <c r="Q59" s="68">
        <v>2018</v>
      </c>
      <c r="R59" s="68">
        <v>2019</v>
      </c>
      <c r="S59" s="68">
        <v>2020</v>
      </c>
      <c r="T59" s="68">
        <v>2021</v>
      </c>
      <c r="U59" s="68">
        <v>2022</v>
      </c>
      <c r="V59" s="68">
        <v>2023</v>
      </c>
    </row>
    <row r="60" spans="1:35" s="76" customFormat="1" x14ac:dyDescent="0.3">
      <c r="A60" s="82" t="s">
        <v>125</v>
      </c>
    </row>
    <row r="61" spans="1:35" s="76" customFormat="1" x14ac:dyDescent="0.3">
      <c r="A61" s="76" t="s">
        <v>226</v>
      </c>
      <c r="B61" s="76">
        <f>B6</f>
        <v>719122</v>
      </c>
      <c r="C61" s="76">
        <f t="shared" ref="C61:V62" si="28">C6</f>
        <v>717465</v>
      </c>
      <c r="D61" s="76">
        <f t="shared" si="28"/>
        <v>719042</v>
      </c>
      <c r="E61" s="76">
        <f t="shared" si="28"/>
        <v>725720</v>
      </c>
      <c r="F61" s="76">
        <f t="shared" si="28"/>
        <v>739033</v>
      </c>
      <c r="G61" s="76">
        <f t="shared" si="28"/>
        <v>750095</v>
      </c>
      <c r="H61" s="76">
        <f t="shared" si="28"/>
        <v>755876</v>
      </c>
      <c r="I61" s="76">
        <f t="shared" si="28"/>
        <v>765986</v>
      </c>
      <c r="J61" s="76">
        <f t="shared" si="28"/>
        <v>776292</v>
      </c>
      <c r="K61" s="76">
        <f t="shared" si="28"/>
        <v>788233</v>
      </c>
      <c r="L61" s="76">
        <f t="shared" si="28"/>
        <v>795921</v>
      </c>
      <c r="M61" s="76">
        <f t="shared" si="28"/>
        <v>805537</v>
      </c>
      <c r="N61" s="76">
        <f t="shared" si="28"/>
        <v>821343</v>
      </c>
      <c r="O61" s="76">
        <f t="shared" si="28"/>
        <v>836088</v>
      </c>
      <c r="P61" s="76">
        <f t="shared" si="28"/>
        <v>854642</v>
      </c>
      <c r="Q61" s="76">
        <f t="shared" si="28"/>
        <v>869922</v>
      </c>
      <c r="R61" s="76">
        <f t="shared" si="28"/>
        <v>890004</v>
      </c>
      <c r="S61" s="76">
        <f t="shared" si="28"/>
        <v>916316</v>
      </c>
      <c r="T61" s="76">
        <f t="shared" si="28"/>
        <v>945661</v>
      </c>
      <c r="U61" s="76">
        <f t="shared" si="28"/>
        <v>960661</v>
      </c>
      <c r="V61" s="76">
        <f t="shared" si="28"/>
        <v>945199</v>
      </c>
    </row>
    <row r="62" spans="1:35" s="76" customFormat="1" x14ac:dyDescent="0.3">
      <c r="A62" s="76" t="s">
        <v>227</v>
      </c>
      <c r="B62" s="76">
        <f>B7</f>
        <v>853157</v>
      </c>
      <c r="C62" s="76">
        <f t="shared" si="28"/>
        <v>856519</v>
      </c>
      <c r="D62" s="76">
        <f t="shared" si="28"/>
        <v>863572</v>
      </c>
      <c r="E62" s="76">
        <f t="shared" si="28"/>
        <v>877436</v>
      </c>
      <c r="F62" s="76">
        <f t="shared" si="28"/>
        <v>901280</v>
      </c>
      <c r="G62" s="76">
        <f t="shared" si="28"/>
        <v>920415</v>
      </c>
      <c r="H62" s="76">
        <f t="shared" si="28"/>
        <v>930560</v>
      </c>
      <c r="I62" s="76">
        <f t="shared" si="28"/>
        <v>948805</v>
      </c>
      <c r="J62" s="76">
        <f t="shared" si="28"/>
        <v>965752</v>
      </c>
      <c r="K62" s="76">
        <f t="shared" si="28"/>
        <v>984354</v>
      </c>
      <c r="L62" s="76">
        <f t="shared" si="28"/>
        <v>996415</v>
      </c>
      <c r="M62" s="76">
        <f t="shared" si="28"/>
        <v>1010704</v>
      </c>
      <c r="N62" s="76">
        <f t="shared" si="28"/>
        <v>1030641</v>
      </c>
      <c r="O62" s="76">
        <f t="shared" si="28"/>
        <v>1052469</v>
      </c>
      <c r="P62" s="76">
        <f t="shared" si="28"/>
        <v>1081567</v>
      </c>
      <c r="Q62" s="76">
        <f t="shared" si="28"/>
        <v>1106330</v>
      </c>
      <c r="R62" s="76">
        <f t="shared" si="28"/>
        <v>1137274</v>
      </c>
      <c r="S62" s="76">
        <f t="shared" si="28"/>
        <v>1177227</v>
      </c>
      <c r="T62" s="76">
        <f t="shared" si="28"/>
        <v>1223537</v>
      </c>
      <c r="U62" s="76">
        <f t="shared" si="28"/>
        <v>1249134</v>
      </c>
      <c r="V62" s="76">
        <f t="shared" si="28"/>
        <v>1241323</v>
      </c>
    </row>
    <row r="63" spans="1:35" s="76" customFormat="1" x14ac:dyDescent="0.3">
      <c r="A63" s="76" t="s">
        <v>135</v>
      </c>
      <c r="B63" s="81">
        <v>2262705.2439999999</v>
      </c>
      <c r="C63" s="81">
        <v>2353083.1433600001</v>
      </c>
      <c r="D63" s="81">
        <v>2425876.9980000001</v>
      </c>
      <c r="E63" s="81">
        <v>2569430.6052100002</v>
      </c>
      <c r="F63" s="81">
        <v>2677901.1946700001</v>
      </c>
      <c r="G63" s="81">
        <v>3067203.23386</v>
      </c>
      <c r="H63" s="81">
        <v>3236344.4180000001</v>
      </c>
      <c r="I63" s="81">
        <v>3343015.4950000001</v>
      </c>
      <c r="J63" s="81">
        <v>3400758.1773100002</v>
      </c>
      <c r="K63" s="81">
        <v>3539142.355</v>
      </c>
      <c r="L63" s="81">
        <v>3703140.7063699998</v>
      </c>
      <c r="M63" s="81">
        <v>3725451.8110000002</v>
      </c>
      <c r="N63" s="81">
        <v>3974883.4619999998</v>
      </c>
      <c r="O63" s="81">
        <v>4071313.8620000002</v>
      </c>
      <c r="P63" s="81">
        <v>4153075.9160000002</v>
      </c>
      <c r="Q63" s="81">
        <v>4238045.9009999996</v>
      </c>
      <c r="R63" s="81">
        <v>4327094.6529999999</v>
      </c>
      <c r="S63" s="81">
        <v>4027787.3727000002</v>
      </c>
      <c r="T63" s="81">
        <v>4438226.4675900014</v>
      </c>
      <c r="U63" s="81">
        <v>4596331.5162800001</v>
      </c>
      <c r="V63" s="85">
        <v>5047179.2479999997</v>
      </c>
      <c r="W63" s="85">
        <v>5322335.3661499992</v>
      </c>
      <c r="X63" s="12">
        <v>5422061.9110000003</v>
      </c>
    </row>
    <row r="64" spans="1:35" s="76" customFormat="1" x14ac:dyDescent="0.3">
      <c r="A64" s="83" t="s">
        <v>129</v>
      </c>
    </row>
    <row r="65" spans="1:24" s="76" customFormat="1" x14ac:dyDescent="0.3">
      <c r="A65" s="76" t="s">
        <v>135</v>
      </c>
      <c r="B65" s="76">
        <f t="shared" ref="B65:V65" si="29">B63*B4</f>
        <v>3669516.1424156171</v>
      </c>
      <c r="C65" s="76">
        <f t="shared" si="29"/>
        <v>3754967.2527671098</v>
      </c>
      <c r="D65" s="76">
        <f t="shared" si="29"/>
        <v>3788958.9955014149</v>
      </c>
      <c r="E65" s="76">
        <f t="shared" si="29"/>
        <v>3943446.1893611564</v>
      </c>
      <c r="F65" s="76">
        <f t="shared" si="29"/>
        <v>4038566.1101349872</v>
      </c>
      <c r="G65" s="76">
        <f t="shared" si="29"/>
        <v>4438244.8854019819</v>
      </c>
      <c r="H65" s="76">
        <f t="shared" si="29"/>
        <v>4655580.8422582354</v>
      </c>
      <c r="I65" s="76">
        <f t="shared" si="29"/>
        <v>4729917.1473575607</v>
      </c>
      <c r="J65" s="76">
        <f t="shared" si="29"/>
        <v>4668768.7742414698</v>
      </c>
      <c r="K65" s="76">
        <f t="shared" si="29"/>
        <v>4733366.1016159076</v>
      </c>
      <c r="L65" s="76">
        <f t="shared" si="29"/>
        <v>4891974.0275108479</v>
      </c>
      <c r="M65" s="76">
        <f t="shared" si="29"/>
        <v>4901612.4548775144</v>
      </c>
      <c r="N65" s="76">
        <f t="shared" si="29"/>
        <v>5175494.4895422067</v>
      </c>
      <c r="O65" s="76">
        <f t="shared" si="29"/>
        <v>5192422.1251288587</v>
      </c>
      <c r="P65" s="76">
        <f t="shared" si="29"/>
        <v>5200711.6746914191</v>
      </c>
      <c r="Q65" s="76">
        <f t="shared" si="29"/>
        <v>5215039.1639151834</v>
      </c>
      <c r="R65" s="76">
        <f t="shared" si="29"/>
        <v>5247705.8978666654</v>
      </c>
      <c r="S65" s="76">
        <f t="shared" si="29"/>
        <v>4837092.0235890364</v>
      </c>
      <c r="T65" s="76">
        <f t="shared" si="29"/>
        <v>5225022.1554678259</v>
      </c>
      <c r="U65" s="76">
        <f t="shared" si="29"/>
        <v>4952899.8089654604</v>
      </c>
      <c r="V65" s="76">
        <f t="shared" si="29"/>
        <v>5213057.3258953569</v>
      </c>
    </row>
    <row r="66" spans="1:24" s="76" customFormat="1" x14ac:dyDescent="0.3">
      <c r="A66" s="83" t="s">
        <v>229</v>
      </c>
    </row>
    <row r="67" spans="1:24" s="76" customFormat="1" x14ac:dyDescent="0.3">
      <c r="A67" s="76" t="s">
        <v>135</v>
      </c>
      <c r="B67" s="76">
        <f>B65/B$61</f>
        <v>5.1027727456754448</v>
      </c>
      <c r="C67" s="76">
        <f t="shared" ref="C67:V67" si="30">C65/C$61</f>
        <v>5.2336591370549224</v>
      </c>
      <c r="D67" s="76">
        <f t="shared" si="30"/>
        <v>5.2694543510690819</v>
      </c>
      <c r="E67" s="76">
        <f t="shared" si="30"/>
        <v>5.4338397582554654</v>
      </c>
      <c r="F67" s="76">
        <f t="shared" si="30"/>
        <v>5.4646627554317426</v>
      </c>
      <c r="G67" s="76">
        <f t="shared" si="30"/>
        <v>5.9169103718888696</v>
      </c>
      <c r="H67" s="76">
        <f t="shared" si="30"/>
        <v>6.1591859541224165</v>
      </c>
      <c r="I67" s="76">
        <f t="shared" si="30"/>
        <v>6.1749394210306203</v>
      </c>
      <c r="J67" s="76">
        <f t="shared" si="30"/>
        <v>6.0141915339092371</v>
      </c>
      <c r="K67" s="76">
        <f t="shared" si="30"/>
        <v>6.0050341734181485</v>
      </c>
      <c r="L67" s="76">
        <f t="shared" si="30"/>
        <v>6.1463060121681021</v>
      </c>
      <c r="M67" s="76">
        <f t="shared" si="30"/>
        <v>6.0849004513480009</v>
      </c>
      <c r="N67" s="76">
        <f t="shared" si="30"/>
        <v>6.3012584140148595</v>
      </c>
      <c r="O67" s="76">
        <f t="shared" si="30"/>
        <v>6.2103775262040104</v>
      </c>
      <c r="P67" s="76">
        <f t="shared" si="30"/>
        <v>6.0852516898203213</v>
      </c>
      <c r="Q67" s="76">
        <f t="shared" si="30"/>
        <v>5.9948353575552558</v>
      </c>
      <c r="R67" s="76">
        <f t="shared" si="30"/>
        <v>5.8962722615478871</v>
      </c>
      <c r="S67" s="76">
        <f t="shared" si="30"/>
        <v>5.2788470610455747</v>
      </c>
      <c r="T67" s="76">
        <f t="shared" si="30"/>
        <v>5.5252592160063978</v>
      </c>
      <c r="U67" s="76">
        <f t="shared" si="30"/>
        <v>5.1557207058113743</v>
      </c>
      <c r="V67" s="76">
        <f t="shared" si="30"/>
        <v>5.5153013554768435</v>
      </c>
    </row>
    <row r="68" spans="1:24" s="76" customFormat="1" x14ac:dyDescent="0.3">
      <c r="A68" s="83" t="s">
        <v>131</v>
      </c>
    </row>
    <row r="69" spans="1:24" s="76" customFormat="1" x14ac:dyDescent="0.3">
      <c r="A69" s="76" t="s">
        <v>136</v>
      </c>
      <c r="B69" s="76">
        <v>100</v>
      </c>
      <c r="C69" s="84">
        <f>C61/B61*B69</f>
        <v>99.769580126876946</v>
      </c>
      <c r="D69" s="84">
        <f t="shared" ref="D69:V69" si="31">D61/C61*C69</f>
        <v>99.988875322963295</v>
      </c>
      <c r="E69" s="84">
        <f t="shared" si="31"/>
        <v>100.91750773860348</v>
      </c>
      <c r="F69" s="84">
        <f t="shared" si="31"/>
        <v>102.7687930559766</v>
      </c>
      <c r="G69" s="84">
        <f t="shared" si="31"/>
        <v>104.30705777322903</v>
      </c>
      <c r="H69" s="84">
        <f t="shared" si="31"/>
        <v>105.110954747595</v>
      </c>
      <c r="I69" s="84">
        <f t="shared" si="31"/>
        <v>106.51683580811046</v>
      </c>
      <c r="J69" s="84">
        <f t="shared" si="31"/>
        <v>107.9499723273659</v>
      </c>
      <c r="K69" s="84">
        <f t="shared" si="31"/>
        <v>109.61046943355927</v>
      </c>
      <c r="L69" s="84">
        <f t="shared" si="31"/>
        <v>110.67955089678804</v>
      </c>
      <c r="M69" s="84">
        <f t="shared" si="31"/>
        <v>112.01673707660177</v>
      </c>
      <c r="N69" s="84">
        <f t="shared" si="31"/>
        <v>114.21469514213169</v>
      </c>
      <c r="O69" s="84">
        <f t="shared" si="31"/>
        <v>116.26511217846212</v>
      </c>
      <c r="P69" s="84">
        <f t="shared" si="31"/>
        <v>118.84520290020335</v>
      </c>
      <c r="Q69" s="84">
        <f t="shared" si="31"/>
        <v>120.97001621421683</v>
      </c>
      <c r="R69" s="84">
        <f t="shared" si="31"/>
        <v>123.7625882673594</v>
      </c>
      <c r="S69" s="84">
        <f t="shared" si="31"/>
        <v>127.42149454473653</v>
      </c>
      <c r="T69" s="84">
        <f t="shared" si="31"/>
        <v>131.50216514026832</v>
      </c>
      <c r="U69" s="84">
        <f t="shared" si="31"/>
        <v>133.5880420846533</v>
      </c>
      <c r="V69" s="84">
        <f t="shared" si="31"/>
        <v>131.43792013038129</v>
      </c>
    </row>
    <row r="70" spans="1:24" s="76" customFormat="1" x14ac:dyDescent="0.3">
      <c r="A70" s="76" t="s">
        <v>135</v>
      </c>
      <c r="B70" s="76">
        <v>100</v>
      </c>
      <c r="C70" s="84">
        <f>C67/B67*B70</f>
        <v>102.56500530011654</v>
      </c>
      <c r="D70" s="84">
        <f t="shared" ref="D70:T70" si="32">D67/C67*C70</f>
        <v>103.26649086097157</v>
      </c>
      <c r="E70" s="84">
        <f t="shared" si="32"/>
        <v>106.4879826925586</v>
      </c>
      <c r="F70" s="84">
        <f t="shared" si="32"/>
        <v>107.09202678216458</v>
      </c>
      <c r="G70" s="84">
        <f t="shared" si="32"/>
        <v>115.95480862641588</v>
      </c>
      <c r="H70" s="84">
        <f t="shared" si="32"/>
        <v>120.7027289103218</v>
      </c>
      <c r="I70" s="84">
        <f t="shared" si="32"/>
        <v>121.01145257279639</v>
      </c>
      <c r="J70" s="84">
        <f t="shared" si="32"/>
        <v>117.86124590804503</v>
      </c>
      <c r="K70" s="84">
        <f t="shared" si="32"/>
        <v>117.68178738720754</v>
      </c>
      <c r="L70" s="84">
        <f t="shared" si="32"/>
        <v>120.45031825838304</v>
      </c>
      <c r="M70" s="84">
        <f t="shared" si="32"/>
        <v>119.24694190045798</v>
      </c>
      <c r="N70" s="84">
        <f t="shared" si="32"/>
        <v>123.48694970504266</v>
      </c>
      <c r="O70" s="84">
        <f t="shared" si="32"/>
        <v>121.70593980433975</v>
      </c>
      <c r="P70" s="84">
        <f t="shared" si="32"/>
        <v>119.25382518705187</v>
      </c>
      <c r="Q70" s="84">
        <f t="shared" si="32"/>
        <v>117.4819192690058</v>
      </c>
      <c r="R70" s="84">
        <f t="shared" si="32"/>
        <v>115.55035968523049</v>
      </c>
      <c r="S70" s="84">
        <f t="shared" si="32"/>
        <v>103.45056157006702</v>
      </c>
      <c r="T70" s="84">
        <f t="shared" si="32"/>
        <v>108.27954704996431</v>
      </c>
      <c r="U70" s="84">
        <f>U67/T67*T70</f>
        <v>101.03763116201488</v>
      </c>
      <c r="V70" s="84">
        <f>V67/U67*U70</f>
        <v>108.08440097887984</v>
      </c>
    </row>
    <row r="71" spans="1:24" s="76" customFormat="1" x14ac:dyDescent="0.3">
      <c r="A71" s="83" t="s">
        <v>230</v>
      </c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</row>
    <row r="72" spans="1:24" s="76" customFormat="1" x14ac:dyDescent="0.3">
      <c r="A72" s="76" t="s">
        <v>135</v>
      </c>
      <c r="B72" s="76">
        <f>B65/B$62</f>
        <v>4.3011030120078919</v>
      </c>
      <c r="C72" s="76">
        <f t="shared" ref="C72:V72" si="33">C65/C$62</f>
        <v>4.3839859393278022</v>
      </c>
      <c r="D72" s="76">
        <f t="shared" si="33"/>
        <v>4.3875426663919335</v>
      </c>
      <c r="E72" s="76">
        <f t="shared" si="33"/>
        <v>4.4942835595543791</v>
      </c>
      <c r="F72" s="76">
        <f t="shared" si="33"/>
        <v>4.4809228099314167</v>
      </c>
      <c r="G72" s="76">
        <f t="shared" si="33"/>
        <v>4.8220040801181883</v>
      </c>
      <c r="H72" s="76">
        <f t="shared" si="33"/>
        <v>5.0029883535271615</v>
      </c>
      <c r="I72" s="76">
        <f t="shared" si="33"/>
        <v>4.9851309250663318</v>
      </c>
      <c r="J72" s="76">
        <f t="shared" si="33"/>
        <v>4.8343350821344089</v>
      </c>
      <c r="K72" s="76">
        <f t="shared" si="33"/>
        <v>4.8086014803779005</v>
      </c>
      <c r="L72" s="76">
        <f t="shared" si="33"/>
        <v>4.9095748533601444</v>
      </c>
      <c r="M72" s="76">
        <f t="shared" si="33"/>
        <v>4.8497012526689458</v>
      </c>
      <c r="N72" s="76">
        <f t="shared" si="33"/>
        <v>5.0216268220866498</v>
      </c>
      <c r="O72" s="76">
        <f t="shared" si="33"/>
        <v>4.9335630076789521</v>
      </c>
      <c r="P72" s="76">
        <f t="shared" si="33"/>
        <v>4.808496999900532</v>
      </c>
      <c r="Q72" s="76">
        <f t="shared" si="33"/>
        <v>4.7138188098625031</v>
      </c>
      <c r="R72" s="76">
        <f t="shared" si="33"/>
        <v>4.6142845944483613</v>
      </c>
      <c r="S72" s="76">
        <f t="shared" si="33"/>
        <v>4.108886411532386</v>
      </c>
      <c r="T72" s="76">
        <f t="shared" si="33"/>
        <v>4.2704243152988637</v>
      </c>
      <c r="U72" s="76">
        <f t="shared" si="33"/>
        <v>3.965066845482919</v>
      </c>
      <c r="V72" s="76">
        <f t="shared" si="33"/>
        <v>4.1995977887265097</v>
      </c>
    </row>
    <row r="73" spans="1:24" s="76" customFormat="1" x14ac:dyDescent="0.3">
      <c r="A73" s="83" t="s">
        <v>131</v>
      </c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</row>
    <row r="74" spans="1:24" s="76" customFormat="1" x14ac:dyDescent="0.3">
      <c r="A74" s="76" t="s">
        <v>136</v>
      </c>
      <c r="B74" s="76">
        <v>100</v>
      </c>
      <c r="C74" s="84">
        <f>C62/B62*B74</f>
        <v>100.39406580500423</v>
      </c>
      <c r="D74" s="84">
        <f t="shared" ref="D74:V74" si="34">D62/C62*C74</f>
        <v>101.22076007112406</v>
      </c>
      <c r="E74" s="84">
        <f t="shared" si="34"/>
        <v>102.84578336695355</v>
      </c>
      <c r="F74" s="84">
        <f t="shared" si="34"/>
        <v>105.64057963540121</v>
      </c>
      <c r="G74" s="84">
        <f t="shared" si="34"/>
        <v>107.8834259110574</v>
      </c>
      <c r="H74" s="84">
        <f t="shared" si="34"/>
        <v>109.07253881759161</v>
      </c>
      <c r="I74" s="84">
        <f t="shared" si="34"/>
        <v>111.2110666618219</v>
      </c>
      <c r="J74" s="84">
        <f t="shared" si="34"/>
        <v>113.19745369257944</v>
      </c>
      <c r="K74" s="84">
        <f t="shared" si="34"/>
        <v>115.3778261211008</v>
      </c>
      <c r="L74" s="84">
        <f t="shared" si="34"/>
        <v>116.79151668450237</v>
      </c>
      <c r="M74" s="84">
        <f t="shared" si="34"/>
        <v>118.46635496163071</v>
      </c>
      <c r="N74" s="84">
        <f t="shared" si="34"/>
        <v>120.80320503729088</v>
      </c>
      <c r="O74" s="84">
        <f t="shared" si="34"/>
        <v>123.36170247680083</v>
      </c>
      <c r="P74" s="84">
        <f t="shared" si="34"/>
        <v>126.77232912582322</v>
      </c>
      <c r="Q74" s="84">
        <f t="shared" si="34"/>
        <v>129.67484296559715</v>
      </c>
      <c r="R74" s="84">
        <f t="shared" si="34"/>
        <v>133.30184245103771</v>
      </c>
      <c r="S74" s="84">
        <f t="shared" si="34"/>
        <v>137.9848023282936</v>
      </c>
      <c r="T74" s="84">
        <f t="shared" si="34"/>
        <v>143.41287711405985</v>
      </c>
      <c r="U74" s="84">
        <f t="shared" si="34"/>
        <v>146.41314552890029</v>
      </c>
      <c r="V74" s="84">
        <f t="shared" si="34"/>
        <v>145.49760477848741</v>
      </c>
    </row>
    <row r="75" spans="1:24" s="76" customFormat="1" x14ac:dyDescent="0.3">
      <c r="A75" s="76" t="s">
        <v>135</v>
      </c>
      <c r="B75" s="76">
        <v>100</v>
      </c>
      <c r="C75" s="84">
        <f>C72/B72*B75</f>
        <v>101.92701563037471</v>
      </c>
      <c r="D75" s="84">
        <f t="shared" ref="D75:V75" si="35">D72/C72*C75</f>
        <v>102.00970900121938</v>
      </c>
      <c r="E75" s="84">
        <f t="shared" si="35"/>
        <v>104.49141875949404</v>
      </c>
      <c r="F75" s="84">
        <f t="shared" si="35"/>
        <v>104.18078333444932</v>
      </c>
      <c r="G75" s="84">
        <f t="shared" si="35"/>
        <v>112.11087171490742</v>
      </c>
      <c r="H75" s="84">
        <f t="shared" si="35"/>
        <v>116.31872892975902</v>
      </c>
      <c r="I75" s="84">
        <f t="shared" si="35"/>
        <v>115.90354639609323</v>
      </c>
      <c r="J75" s="84">
        <f t="shared" si="35"/>
        <v>112.39756566252493</v>
      </c>
      <c r="K75" s="84">
        <f t="shared" si="35"/>
        <v>111.79926328091108</v>
      </c>
      <c r="L75" s="84">
        <f t="shared" si="35"/>
        <v>114.14687905994134</v>
      </c>
      <c r="M75" s="84">
        <f t="shared" si="35"/>
        <v>112.75482682301416</v>
      </c>
      <c r="N75" s="84">
        <f t="shared" si="35"/>
        <v>116.75207052858734</v>
      </c>
      <c r="O75" s="84">
        <f t="shared" si="35"/>
        <v>114.70460005039048</v>
      </c>
      <c r="P75" s="84">
        <f t="shared" si="35"/>
        <v>111.79683412548103</v>
      </c>
      <c r="Q75" s="84">
        <f t="shared" si="35"/>
        <v>109.59558040582576</v>
      </c>
      <c r="R75" s="84">
        <f t="shared" si="35"/>
        <v>107.28142482442581</v>
      </c>
      <c r="S75" s="84">
        <f t="shared" si="35"/>
        <v>95.530992865344714</v>
      </c>
      <c r="T75" s="84">
        <f t="shared" si="35"/>
        <v>99.286724902347615</v>
      </c>
      <c r="U75" s="84">
        <f t="shared" si="35"/>
        <v>92.18720952307298</v>
      </c>
      <c r="V75" s="84">
        <f t="shared" si="35"/>
        <v>97.64001878127543</v>
      </c>
    </row>
    <row r="77" spans="1:24" x14ac:dyDescent="0.3">
      <c r="A77" s="68" t="s">
        <v>122</v>
      </c>
    </row>
    <row r="78" spans="1:24" x14ac:dyDescent="0.3">
      <c r="A78" s="70" t="s">
        <v>138</v>
      </c>
      <c r="B78" s="77">
        <v>340404</v>
      </c>
      <c r="C78" s="78">
        <v>348930</v>
      </c>
      <c r="D78" s="78">
        <v>354953</v>
      </c>
      <c r="E78" s="78">
        <v>373382</v>
      </c>
      <c r="F78" s="78">
        <v>387861</v>
      </c>
      <c r="G78" s="78">
        <v>413469</v>
      </c>
      <c r="H78" s="78">
        <v>429286</v>
      </c>
      <c r="I78" s="78">
        <v>445941</v>
      </c>
      <c r="J78" s="78">
        <v>464463</v>
      </c>
      <c r="K78" s="78">
        <v>477479</v>
      </c>
      <c r="L78" s="78">
        <v>484231</v>
      </c>
      <c r="M78" s="78">
        <v>486320</v>
      </c>
      <c r="N78" s="78">
        <v>500742</v>
      </c>
      <c r="O78" s="78">
        <v>516774</v>
      </c>
      <c r="P78" s="78">
        <v>533903</v>
      </c>
      <c r="Q78" s="78">
        <v>551179</v>
      </c>
      <c r="R78" s="78">
        <v>565782</v>
      </c>
      <c r="S78" s="78">
        <v>597771</v>
      </c>
      <c r="T78" s="78">
        <v>627057</v>
      </c>
      <c r="U78" s="78">
        <v>655108</v>
      </c>
      <c r="V78" s="46">
        <v>682936</v>
      </c>
    </row>
    <row r="79" spans="1:24" x14ac:dyDescent="0.3">
      <c r="A79" s="70" t="s">
        <v>137</v>
      </c>
      <c r="B79" s="73">
        <v>92272.388000000006</v>
      </c>
      <c r="C79" s="73">
        <v>106957.35799</v>
      </c>
      <c r="D79" s="73">
        <v>162784.39199999999</v>
      </c>
      <c r="E79" s="73">
        <v>152960.13156000001</v>
      </c>
      <c r="F79" s="73">
        <v>162433.16453000001</v>
      </c>
      <c r="G79" s="73">
        <v>172068.32260000001</v>
      </c>
      <c r="H79" s="73">
        <v>173004.17600000001</v>
      </c>
      <c r="I79" s="73">
        <v>185087.92300000001</v>
      </c>
      <c r="J79" s="73">
        <v>193006.84555</v>
      </c>
      <c r="K79" s="73">
        <v>199484.64199999999</v>
      </c>
      <c r="L79" s="73">
        <v>201195.19130000001</v>
      </c>
      <c r="M79" s="73">
        <v>205323.345</v>
      </c>
      <c r="N79" s="73">
        <v>207944.247</v>
      </c>
      <c r="O79" s="73">
        <v>214029.49600000001</v>
      </c>
      <c r="P79" s="73">
        <v>219917.495</v>
      </c>
      <c r="Q79" s="73">
        <v>225798.78599999999</v>
      </c>
      <c r="R79" s="73">
        <v>231753.851</v>
      </c>
      <c r="S79" s="73">
        <v>221874.38159</v>
      </c>
      <c r="T79" s="73">
        <v>230898.40729999999</v>
      </c>
      <c r="U79" s="73">
        <v>239638.02611000001</v>
      </c>
      <c r="V79" s="73">
        <v>279678.59902000002</v>
      </c>
      <c r="W79" s="73">
        <v>297899.92258999997</v>
      </c>
      <c r="X79" s="73">
        <v>322394.28700000001</v>
      </c>
    </row>
    <row r="80" spans="1:24" x14ac:dyDescent="0.3">
      <c r="A80" s="74" t="s">
        <v>129</v>
      </c>
    </row>
    <row r="81" spans="1:24" x14ac:dyDescent="0.3">
      <c r="A81" s="70" t="s">
        <v>137</v>
      </c>
      <c r="B81" s="70">
        <f t="shared" ref="B81:V81" si="36">B79*B4</f>
        <v>149641.68141789001</v>
      </c>
      <c r="C81" s="70">
        <f t="shared" si="36"/>
        <v>170678.78703234339</v>
      </c>
      <c r="D81" s="70">
        <f t="shared" si="36"/>
        <v>254251.71470117071</v>
      </c>
      <c r="E81" s="70">
        <f t="shared" si="36"/>
        <v>234756.31009507817</v>
      </c>
      <c r="F81" s="70">
        <f t="shared" si="36"/>
        <v>244966.86985259646</v>
      </c>
      <c r="G81" s="70">
        <f t="shared" si="36"/>
        <v>248982.96411812076</v>
      </c>
      <c r="H81" s="70">
        <f t="shared" si="36"/>
        <v>248871.82060616885</v>
      </c>
      <c r="I81" s="70">
        <f t="shared" si="36"/>
        <v>261874.50883068549</v>
      </c>
      <c r="J81" s="70">
        <f t="shared" si="36"/>
        <v>264971.59948945849</v>
      </c>
      <c r="K81" s="70">
        <f t="shared" si="36"/>
        <v>266797.36148555827</v>
      </c>
      <c r="L81" s="70">
        <f t="shared" si="36"/>
        <v>265785.64746584487</v>
      </c>
      <c r="M81" s="70">
        <f t="shared" si="36"/>
        <v>270145.88194578391</v>
      </c>
      <c r="N81" s="70">
        <f t="shared" si="36"/>
        <v>270753.67486094707</v>
      </c>
      <c r="O81" s="70">
        <f t="shared" si="36"/>
        <v>272966.30231171759</v>
      </c>
      <c r="P81" s="70">
        <f t="shared" si="36"/>
        <v>275392.86708174675</v>
      </c>
      <c r="Q81" s="70">
        <f t="shared" si="36"/>
        <v>277851.99586362467</v>
      </c>
      <c r="R81" s="70">
        <f t="shared" si="36"/>
        <v>281060.65345781849</v>
      </c>
      <c r="S81" s="70">
        <f t="shared" si="36"/>
        <v>266455.67457259016</v>
      </c>
      <c r="T81" s="70">
        <f t="shared" si="36"/>
        <v>271831.39540417527</v>
      </c>
      <c r="U81" s="70">
        <f t="shared" si="36"/>
        <v>258228.35657896331</v>
      </c>
      <c r="V81" s="70">
        <f t="shared" si="36"/>
        <v>288870.3764771386</v>
      </c>
    </row>
    <row r="82" spans="1:24" x14ac:dyDescent="0.3">
      <c r="A82" s="74" t="s">
        <v>130</v>
      </c>
    </row>
    <row r="83" spans="1:24" x14ac:dyDescent="0.3">
      <c r="A83" s="70" t="s">
        <v>137</v>
      </c>
      <c r="B83" s="70">
        <f>B81/B$78</f>
        <v>0.43960024388047736</v>
      </c>
      <c r="C83" s="70">
        <f t="shared" ref="C83:V83" si="37">C81/C$78</f>
        <v>0.48914907583854467</v>
      </c>
      <c r="D83" s="70">
        <f t="shared" si="37"/>
        <v>0.71629684690979012</v>
      </c>
      <c r="E83" s="70">
        <f t="shared" si="37"/>
        <v>0.62872958550513458</v>
      </c>
      <c r="F83" s="70">
        <f t="shared" si="37"/>
        <v>0.6315841753942687</v>
      </c>
      <c r="G83" s="70">
        <f t="shared" si="37"/>
        <v>0.60218048781920952</v>
      </c>
      <c r="H83" s="70">
        <f t="shared" si="37"/>
        <v>0.57973430441749518</v>
      </c>
      <c r="I83" s="70">
        <f t="shared" si="37"/>
        <v>0.58724026010320984</v>
      </c>
      <c r="J83" s="70">
        <f t="shared" si="37"/>
        <v>0.57049022094216006</v>
      </c>
      <c r="K83" s="70">
        <f t="shared" si="37"/>
        <v>0.55876250366101599</v>
      </c>
      <c r="L83" s="70">
        <f t="shared" si="37"/>
        <v>0.54888193334554147</v>
      </c>
      <c r="M83" s="70">
        <f t="shared" si="37"/>
        <v>0.55548996945588069</v>
      </c>
      <c r="N83" s="70">
        <f t="shared" si="37"/>
        <v>0.54070494358561305</v>
      </c>
      <c r="O83" s="70">
        <f t="shared" si="37"/>
        <v>0.52821214362897051</v>
      </c>
      <c r="P83" s="70">
        <f t="shared" si="37"/>
        <v>0.51581067550050619</v>
      </c>
      <c r="Q83" s="70">
        <f t="shared" si="37"/>
        <v>0.50410482958099756</v>
      </c>
      <c r="R83" s="70">
        <f t="shared" si="37"/>
        <v>0.49676492616912254</v>
      </c>
      <c r="S83" s="70">
        <f t="shared" si="37"/>
        <v>0.44574874755147065</v>
      </c>
      <c r="T83" s="70">
        <f t="shared" si="37"/>
        <v>0.43350348597364396</v>
      </c>
      <c r="U83" s="70">
        <f t="shared" si="37"/>
        <v>0.39417677173681792</v>
      </c>
      <c r="V83" s="70">
        <f t="shared" si="37"/>
        <v>0.4229830854972334</v>
      </c>
    </row>
    <row r="84" spans="1:24" x14ac:dyDescent="0.3">
      <c r="A84" s="74" t="s">
        <v>131</v>
      </c>
    </row>
    <row r="85" spans="1:24" x14ac:dyDescent="0.3">
      <c r="A85" s="70" t="s">
        <v>138</v>
      </c>
      <c r="B85" s="70">
        <v>100</v>
      </c>
      <c r="C85" s="69">
        <f>C78/B78*B85</f>
        <v>102.50467092043571</v>
      </c>
      <c r="D85" s="69">
        <f t="shared" ref="D85:T85" si="38">D78/C78*C85</f>
        <v>104.27403908297201</v>
      </c>
      <c r="E85" s="69">
        <f t="shared" si="38"/>
        <v>109.68790025969143</v>
      </c>
      <c r="F85" s="69">
        <f t="shared" si="38"/>
        <v>113.94137554200304</v>
      </c>
      <c r="G85" s="69">
        <f t="shared" si="38"/>
        <v>121.46420136073608</v>
      </c>
      <c r="H85" s="69">
        <f t="shared" si="38"/>
        <v>126.11073900424203</v>
      </c>
      <c r="I85" s="69">
        <f t="shared" si="38"/>
        <v>131.00345471851097</v>
      </c>
      <c r="J85" s="69">
        <f t="shared" si="38"/>
        <v>136.44463637325063</v>
      </c>
      <c r="K85" s="69">
        <f t="shared" si="38"/>
        <v>140.26832822176004</v>
      </c>
      <c r="L85" s="69">
        <f t="shared" si="38"/>
        <v>142.25185367974527</v>
      </c>
      <c r="M85" s="69">
        <f t="shared" si="38"/>
        <v>142.86553624516753</v>
      </c>
      <c r="N85" s="69">
        <f t="shared" si="38"/>
        <v>147.10226671836998</v>
      </c>
      <c r="O85" s="69">
        <f t="shared" si="38"/>
        <v>151.81196460676142</v>
      </c>
      <c r="P85" s="69">
        <f t="shared" si="38"/>
        <v>156.84392662835927</v>
      </c>
      <c r="Q85" s="69">
        <f t="shared" si="38"/>
        <v>161.91907263134394</v>
      </c>
      <c r="R85" s="69">
        <f t="shared" si="38"/>
        <v>166.20897521768251</v>
      </c>
      <c r="S85" s="69">
        <f t="shared" si="38"/>
        <v>175.60633835090067</v>
      </c>
      <c r="T85" s="69">
        <f t="shared" si="38"/>
        <v>184.20964501004687</v>
      </c>
      <c r="U85" s="69">
        <f>U78/T78*T85</f>
        <v>192.45014747182759</v>
      </c>
      <c r="V85" s="69">
        <f>V78/U78*U85</f>
        <v>200.62513954007591</v>
      </c>
    </row>
    <row r="86" spans="1:24" x14ac:dyDescent="0.3">
      <c r="A86" s="70" t="s">
        <v>137</v>
      </c>
      <c r="B86" s="73">
        <v>100</v>
      </c>
      <c r="C86" s="73">
        <f>C83/B83*B86</f>
        <v>111.27133859633143</v>
      </c>
      <c r="D86" s="73">
        <f t="shared" ref="D86:T86" si="39">D83/C83*C86</f>
        <v>162.94277741678044</v>
      </c>
      <c r="E86" s="73">
        <f t="shared" si="39"/>
        <v>143.02302927658965</v>
      </c>
      <c r="F86" s="73">
        <f t="shared" si="39"/>
        <v>143.67238967364855</v>
      </c>
      <c r="G86" s="73">
        <f t="shared" si="39"/>
        <v>136.98365644741</v>
      </c>
      <c r="H86" s="73">
        <f t="shared" si="39"/>
        <v>131.87761210048802</v>
      </c>
      <c r="I86" s="73">
        <f t="shared" si="39"/>
        <v>133.58506240111967</v>
      </c>
      <c r="J86" s="73">
        <f t="shared" si="39"/>
        <v>129.77477353203435</v>
      </c>
      <c r="K86" s="73">
        <f t="shared" si="39"/>
        <v>127.10695943402108</v>
      </c>
      <c r="L86" s="73">
        <f t="shared" si="39"/>
        <v>124.85933322065598</v>
      </c>
      <c r="M86" s="73">
        <f>M83/L83*L86</f>
        <v>126.36252531445653</v>
      </c>
      <c r="N86" s="73">
        <f t="shared" si="39"/>
        <v>122.99923649101186</v>
      </c>
      <c r="O86" s="73">
        <f t="shared" si="39"/>
        <v>120.15738184453463</v>
      </c>
      <c r="P86" s="73">
        <f t="shared" si="39"/>
        <v>117.33630330759092</v>
      </c>
      <c r="Q86" s="73">
        <f t="shared" si="39"/>
        <v>114.67346449381371</v>
      </c>
      <c r="R86" s="73">
        <f t="shared" si="39"/>
        <v>113.00378766491035</v>
      </c>
      <c r="S86" s="73">
        <f t="shared" si="39"/>
        <v>101.39865792992261</v>
      </c>
      <c r="T86" s="73">
        <f t="shared" si="39"/>
        <v>98.613113165494312</v>
      </c>
      <c r="U86" s="73">
        <f>U83/T83*T86</f>
        <v>89.667095781682633</v>
      </c>
      <c r="V86" s="73">
        <f>V83/U83*U86</f>
        <v>96.219938770606817</v>
      </c>
    </row>
    <row r="87" spans="1:24" x14ac:dyDescent="0.3">
      <c r="A87" s="70" t="s">
        <v>150</v>
      </c>
      <c r="B87" s="79">
        <f t="shared" ref="B87:V87" si="40">B79/B8</f>
        <v>3.9053021037719099E-2</v>
      </c>
      <c r="C87" s="79">
        <f t="shared" si="40"/>
        <v>4.3338094037073976E-2</v>
      </c>
      <c r="D87" s="79">
        <f t="shared" si="40"/>
        <v>6.2573262951487393E-2</v>
      </c>
      <c r="E87" s="79">
        <f t="shared" si="40"/>
        <v>5.5884120756314375E-2</v>
      </c>
      <c r="F87" s="79">
        <f t="shared" si="40"/>
        <v>5.690272726298503E-2</v>
      </c>
      <c r="G87" s="79">
        <f t="shared" si="40"/>
        <v>5.3025982536383465E-2</v>
      </c>
      <c r="H87" s="79">
        <f t="shared" si="40"/>
        <v>5.0655166052487752E-2</v>
      </c>
      <c r="I87" s="79">
        <f t="shared" si="40"/>
        <v>5.2357816306751875E-2</v>
      </c>
      <c r="J87" s="79">
        <f t="shared" si="40"/>
        <v>5.3579849724632637E-2</v>
      </c>
      <c r="K87" s="79">
        <f t="shared" si="40"/>
        <v>5.324349886857542E-2</v>
      </c>
      <c r="L87" s="79">
        <f t="shared" si="40"/>
        <v>5.1358270612411237E-2</v>
      </c>
      <c r="M87" s="79">
        <f t="shared" si="40"/>
        <v>5.2093700568622961E-2</v>
      </c>
      <c r="N87" s="79">
        <f t="shared" si="40"/>
        <v>4.9579987330929186E-2</v>
      </c>
      <c r="O87" s="79">
        <f t="shared" si="40"/>
        <v>4.9754666410501081E-2</v>
      </c>
      <c r="P87" s="79">
        <f t="shared" si="40"/>
        <v>5.008437000896946E-2</v>
      </c>
      <c r="Q87" s="79">
        <f t="shared" si="40"/>
        <v>5.0336596017513717E-2</v>
      </c>
      <c r="R87" s="79">
        <f t="shared" si="40"/>
        <v>5.0735818999448942E-2</v>
      </c>
      <c r="S87" s="79">
        <f t="shared" si="40"/>
        <v>5.2111319108983603E-2</v>
      </c>
      <c r="T87" s="79">
        <f t="shared" si="40"/>
        <v>4.937330916117335E-2</v>
      </c>
      <c r="U87" s="79">
        <f t="shared" si="40"/>
        <v>4.9474771840157618E-2</v>
      </c>
      <c r="V87" s="79">
        <f t="shared" si="40"/>
        <v>5.2435897682468577E-2</v>
      </c>
    </row>
    <row r="88" spans="1:24" x14ac:dyDescent="0.3"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</row>
    <row r="89" spans="1:24" x14ac:dyDescent="0.3">
      <c r="A89" s="68" t="s">
        <v>259</v>
      </c>
      <c r="B89" s="68">
        <v>2003</v>
      </c>
      <c r="C89" s="68">
        <v>2004</v>
      </c>
      <c r="D89" s="68">
        <v>2005</v>
      </c>
      <c r="E89" s="68">
        <v>2006</v>
      </c>
      <c r="F89" s="68">
        <v>2007</v>
      </c>
      <c r="G89" s="68">
        <v>2008</v>
      </c>
      <c r="H89" s="68">
        <v>2009</v>
      </c>
      <c r="I89" s="68">
        <v>2010</v>
      </c>
      <c r="J89" s="68">
        <v>2011</v>
      </c>
      <c r="K89" s="68">
        <v>2012</v>
      </c>
      <c r="L89" s="68">
        <v>2013</v>
      </c>
      <c r="M89" s="68">
        <v>2014</v>
      </c>
      <c r="N89" s="68">
        <v>2015</v>
      </c>
      <c r="O89" s="68">
        <v>2016</v>
      </c>
      <c r="P89" s="68">
        <v>2017</v>
      </c>
      <c r="Q89" s="68">
        <v>2018</v>
      </c>
      <c r="R89" s="68">
        <v>2019</v>
      </c>
      <c r="S89" s="68">
        <v>2020</v>
      </c>
      <c r="T89" s="68">
        <v>2021</v>
      </c>
      <c r="U89" s="68">
        <v>2022</v>
      </c>
      <c r="V89" s="68">
        <v>2023</v>
      </c>
      <c r="W89" s="68">
        <v>2024</v>
      </c>
      <c r="X89" s="68">
        <v>2025</v>
      </c>
    </row>
    <row r="90" spans="1:24" x14ac:dyDescent="0.3">
      <c r="A90" s="70" t="s">
        <v>231</v>
      </c>
      <c r="B90" s="70">
        <f>B33</f>
        <v>3416845</v>
      </c>
      <c r="C90" s="70">
        <f t="shared" ref="C90:V91" si="41">C33</f>
        <v>3446922</v>
      </c>
      <c r="D90" s="70">
        <f t="shared" si="41"/>
        <v>3488326</v>
      </c>
      <c r="E90" s="70">
        <f t="shared" si="41"/>
        <v>3552305</v>
      </c>
      <c r="F90" s="70">
        <f t="shared" si="41"/>
        <v>3632158</v>
      </c>
      <c r="G90" s="70">
        <f t="shared" si="41"/>
        <v>3664695</v>
      </c>
      <c r="H90" s="70">
        <f t="shared" si="41"/>
        <v>3650975</v>
      </c>
      <c r="I90" s="70">
        <f t="shared" si="41"/>
        <v>3702275</v>
      </c>
      <c r="J90" s="70">
        <f t="shared" si="41"/>
        <v>3724412</v>
      </c>
      <c r="K90" s="70">
        <f t="shared" si="41"/>
        <v>3717226</v>
      </c>
      <c r="L90" s="70">
        <f t="shared" si="41"/>
        <v>3704916</v>
      </c>
      <c r="M90" s="70">
        <f t="shared" si="41"/>
        <v>3726937</v>
      </c>
      <c r="N90" s="70">
        <f t="shared" si="41"/>
        <v>3752674</v>
      </c>
      <c r="O90" s="70">
        <f t="shared" si="41"/>
        <v>3801359</v>
      </c>
      <c r="P90" s="70">
        <f t="shared" si="41"/>
        <v>3858071</v>
      </c>
      <c r="Q90" s="70">
        <f t="shared" si="41"/>
        <v>3914029</v>
      </c>
      <c r="R90" s="70">
        <f t="shared" si="41"/>
        <v>3966918</v>
      </c>
      <c r="S90" s="70">
        <f t="shared" si="41"/>
        <v>3946692</v>
      </c>
      <c r="T90" s="70">
        <f t="shared" si="41"/>
        <v>4019084</v>
      </c>
      <c r="U90" s="70">
        <f t="shared" si="41"/>
        <v>4069839</v>
      </c>
      <c r="V90" s="70">
        <f t="shared" si="41"/>
        <v>3992877</v>
      </c>
    </row>
    <row r="91" spans="1:24" x14ac:dyDescent="0.3">
      <c r="A91" s="70" t="s">
        <v>232</v>
      </c>
      <c r="B91" s="70">
        <f>B34</f>
        <v>3431288</v>
      </c>
      <c r="C91" s="70">
        <f t="shared" si="41"/>
        <v>3460962</v>
      </c>
      <c r="D91" s="70">
        <f t="shared" si="41"/>
        <v>3501575</v>
      </c>
      <c r="E91" s="70">
        <f t="shared" si="41"/>
        <v>3566422</v>
      </c>
      <c r="F91" s="70">
        <f t="shared" si="41"/>
        <v>3646646</v>
      </c>
      <c r="G91" s="70">
        <f t="shared" si="41"/>
        <v>3679558</v>
      </c>
      <c r="H91" s="70">
        <f t="shared" si="41"/>
        <v>3665867</v>
      </c>
      <c r="I91" s="70">
        <f t="shared" si="41"/>
        <v>3717768</v>
      </c>
      <c r="J91" s="70">
        <f t="shared" si="41"/>
        <v>3740447</v>
      </c>
      <c r="K91" s="70">
        <f t="shared" si="41"/>
        <v>3733131</v>
      </c>
      <c r="L91" s="70">
        <f t="shared" si="41"/>
        <v>3721153</v>
      </c>
      <c r="M91" s="70">
        <f t="shared" si="41"/>
        <v>3743258</v>
      </c>
      <c r="N91" s="70">
        <f t="shared" si="41"/>
        <v>3769678</v>
      </c>
      <c r="O91" s="70">
        <f t="shared" si="41"/>
        <v>3818849</v>
      </c>
      <c r="P91" s="70">
        <f t="shared" si="41"/>
        <v>3876357</v>
      </c>
      <c r="Q91" s="70">
        <f t="shared" si="41"/>
        <v>3933049</v>
      </c>
      <c r="R91" s="70">
        <f t="shared" si="41"/>
        <v>3986725</v>
      </c>
      <c r="S91" s="70">
        <f t="shared" si="41"/>
        <v>3966758</v>
      </c>
      <c r="T91" s="70">
        <f t="shared" si="41"/>
        <v>4040443</v>
      </c>
      <c r="U91" s="70">
        <f t="shared" si="41"/>
        <v>4092156</v>
      </c>
      <c r="V91" s="70">
        <f t="shared" si="41"/>
        <v>4015175</v>
      </c>
    </row>
    <row r="92" spans="1:24" x14ac:dyDescent="0.3">
      <c r="A92" s="70" t="s">
        <v>254</v>
      </c>
      <c r="B92" s="98">
        <f>[1]Table!D47</f>
        <v>12106600</v>
      </c>
      <c r="C92" s="98">
        <f>[1]Table!E47</f>
        <v>12506700</v>
      </c>
      <c r="D92" s="98">
        <f>[1]Table!F47</f>
        <v>12709200</v>
      </c>
      <c r="E92" s="98">
        <f>[1]Table!G47</f>
        <v>13016500</v>
      </c>
      <c r="F92" s="98">
        <f>[1]Table!H47</f>
        <v>13848300</v>
      </c>
      <c r="G92" s="98">
        <f>[1]Table!I47</f>
        <v>14406900</v>
      </c>
      <c r="H92" s="98">
        <f>[1]Table!J47</f>
        <v>14645900</v>
      </c>
      <c r="I92" s="98">
        <f>[1]Table!K47</f>
        <v>14996600</v>
      </c>
      <c r="J92" s="98">
        <f>[1]Table!L47</f>
        <v>15696900</v>
      </c>
      <c r="K92" s="98">
        <f>[1]Table!M47</f>
        <v>16239800</v>
      </c>
      <c r="L92" s="98">
        <f>[1]Table!N47</f>
        <v>16477400.000000002</v>
      </c>
      <c r="M92" s="98">
        <f>[1]Table!O47</f>
        <v>16683000</v>
      </c>
      <c r="N92" s="98">
        <f>[1]Table!P47</f>
        <v>17036600</v>
      </c>
      <c r="O92" s="98">
        <f>[1]Table!Q47</f>
        <v>17174800</v>
      </c>
      <c r="P92" s="98">
        <f>[1]Table!R47</f>
        <v>17744500</v>
      </c>
      <c r="Q92" s="98">
        <f>[1]Table!S47</f>
        <v>18425500</v>
      </c>
      <c r="R92" s="98">
        <f>[1]Table!T47</f>
        <v>19080800</v>
      </c>
      <c r="S92" s="98">
        <f>[1]Table!U47</f>
        <v>18851600</v>
      </c>
      <c r="T92" s="98">
        <f>[1]Table!V47</f>
        <v>19857500</v>
      </c>
      <c r="U92" s="98">
        <f>[1]Table!W47</f>
        <v>21651300</v>
      </c>
      <c r="V92" s="98">
        <f>[1]Table!X47</f>
        <v>23772000</v>
      </c>
    </row>
    <row r="93" spans="1:24" x14ac:dyDescent="0.3">
      <c r="A93" s="70" t="s">
        <v>255</v>
      </c>
      <c r="B93" s="98">
        <f>[1]Table!D38</f>
        <v>23708600</v>
      </c>
      <c r="C93" s="98">
        <f>[1]Table!E38</f>
        <v>24414200</v>
      </c>
      <c r="D93" s="98">
        <f>[1]Table!F38</f>
        <v>25251400</v>
      </c>
      <c r="E93" s="98">
        <f>[1]Table!G38</f>
        <v>26446900</v>
      </c>
      <c r="F93" s="98">
        <f>[1]Table!H38</f>
        <v>28215900</v>
      </c>
      <c r="G93" s="98">
        <f>[1]Table!I38</f>
        <v>29803000</v>
      </c>
      <c r="H93" s="98">
        <f>[1]Table!J38</f>
        <v>30354800</v>
      </c>
      <c r="I93" s="98">
        <f>[1]Table!K38</f>
        <v>31041200</v>
      </c>
      <c r="J93" s="98">
        <f>[1]Table!L38</f>
        <v>32720600</v>
      </c>
      <c r="K93" s="98">
        <f>[1]Table!M38</f>
        <v>34116000</v>
      </c>
      <c r="L93" s="98">
        <f>[1]Table!N38</f>
        <v>34914500</v>
      </c>
      <c r="M93" s="98">
        <f>[1]Table!O38</f>
        <v>35324100</v>
      </c>
      <c r="N93" s="98">
        <f>[1]Table!P38</f>
        <v>36239600</v>
      </c>
      <c r="O93" s="98">
        <f>[1]Table!Q38</f>
        <v>35196800</v>
      </c>
      <c r="P93" s="98">
        <f>[1]Table!R38</f>
        <v>36119400</v>
      </c>
      <c r="Q93" s="98">
        <f>[1]Table!S38</f>
        <v>36585100</v>
      </c>
      <c r="R93" s="98">
        <f>[1]Table!T38</f>
        <v>37902100</v>
      </c>
      <c r="S93" s="98">
        <f>[1]Table!U38</f>
        <v>37351600</v>
      </c>
      <c r="T93" s="98">
        <f>[1]Table!V38</f>
        <v>39411700</v>
      </c>
      <c r="U93" s="98">
        <f>[1]Table!W38</f>
        <v>42730100</v>
      </c>
      <c r="V93" s="98">
        <f>[1]Table!X38</f>
        <v>46011600</v>
      </c>
    </row>
    <row r="94" spans="1:24" x14ac:dyDescent="0.3">
      <c r="A94" s="74" t="s">
        <v>129</v>
      </c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</row>
    <row r="95" spans="1:24" x14ac:dyDescent="0.3">
      <c r="A95" s="70" t="s">
        <v>254</v>
      </c>
      <c r="B95" s="98">
        <f>B92*B4</f>
        <v>19633738.971335903</v>
      </c>
      <c r="C95" s="98">
        <f t="shared" ref="C95:V95" si="42">C92*C4</f>
        <v>19957751.630112126</v>
      </c>
      <c r="D95" s="98">
        <f t="shared" si="42"/>
        <v>19850403.67064257</v>
      </c>
      <c r="E95" s="98">
        <f t="shared" si="42"/>
        <v>19977137.043412887</v>
      </c>
      <c r="F95" s="98">
        <f t="shared" si="42"/>
        <v>20884741.817322467</v>
      </c>
      <c r="G95" s="98">
        <f t="shared" si="42"/>
        <v>20846792.782957911</v>
      </c>
      <c r="H95" s="98">
        <f t="shared" si="42"/>
        <v>21068576.965540349</v>
      </c>
      <c r="I95" s="98">
        <f t="shared" si="42"/>
        <v>21218171.318126779</v>
      </c>
      <c r="J95" s="98">
        <f t="shared" si="42"/>
        <v>21549664.148822106</v>
      </c>
      <c r="K95" s="98">
        <f t="shared" si="42"/>
        <v>21719645.921680372</v>
      </c>
      <c r="L95" s="98">
        <f t="shared" si="42"/>
        <v>21767202.283793911</v>
      </c>
      <c r="M95" s="98">
        <f t="shared" si="42"/>
        <v>21949982.105062202</v>
      </c>
      <c r="N95" s="98">
        <f t="shared" si="42"/>
        <v>22182494.219885826</v>
      </c>
      <c r="O95" s="98">
        <f t="shared" si="42"/>
        <v>21904184.874328196</v>
      </c>
      <c r="P95" s="98">
        <f t="shared" si="42"/>
        <v>22220645.655917715</v>
      </c>
      <c r="Q95" s="98">
        <f t="shared" si="42"/>
        <v>22673115.478066463</v>
      </c>
      <c r="R95" s="98">
        <f t="shared" si="42"/>
        <v>23140336.582790781</v>
      </c>
      <c r="S95" s="98">
        <f t="shared" si="42"/>
        <v>22639458.232067633</v>
      </c>
      <c r="T95" s="98">
        <f t="shared" si="42"/>
        <v>23377778.986691222</v>
      </c>
      <c r="U95" s="98">
        <f t="shared" si="42"/>
        <v>23330936.694628362</v>
      </c>
      <c r="V95" s="98">
        <f t="shared" si="42"/>
        <v>24553278.705187853</v>
      </c>
    </row>
    <row r="96" spans="1:24" x14ac:dyDescent="0.3">
      <c r="A96" s="70" t="s">
        <v>255</v>
      </c>
      <c r="B96" s="98">
        <f>B93*B4</f>
        <v>38449148.71027492</v>
      </c>
      <c r="C96" s="98">
        <f t="shared" ref="C96:V96" si="43">C93*C4</f>
        <v>38959320.991779089</v>
      </c>
      <c r="D96" s="98">
        <f t="shared" si="43"/>
        <v>39439971.300228477</v>
      </c>
      <c r="E96" s="98">
        <f t="shared" si="43"/>
        <v>40589509.136360489</v>
      </c>
      <c r="F96" s="98">
        <f t="shared" si="43"/>
        <v>42552644.486571565</v>
      </c>
      <c r="G96" s="98">
        <f t="shared" si="43"/>
        <v>43124958.548368812</v>
      </c>
      <c r="H96" s="98">
        <f t="shared" si="43"/>
        <v>43666312.07871037</v>
      </c>
      <c r="I96" s="98">
        <f t="shared" si="43"/>
        <v>43919121.63558653</v>
      </c>
      <c r="J96" s="98">
        <f t="shared" si="43"/>
        <v>44920840.468369469</v>
      </c>
      <c r="K96" s="98">
        <f t="shared" si="43"/>
        <v>45627867.354527004</v>
      </c>
      <c r="L96" s="98">
        <f t="shared" si="43"/>
        <v>46123234.499224544</v>
      </c>
      <c r="M96" s="98">
        <f t="shared" si="43"/>
        <v>46476255.042703815</v>
      </c>
      <c r="N96" s="98">
        <f t="shared" si="43"/>
        <v>47185748.185141072</v>
      </c>
      <c r="O96" s="98">
        <f t="shared" si="43"/>
        <v>44888861.249316134</v>
      </c>
      <c r="P96" s="98">
        <f t="shared" si="43"/>
        <v>45230713.105714686</v>
      </c>
      <c r="Q96" s="98">
        <f t="shared" si="43"/>
        <v>45019033.246132225</v>
      </c>
      <c r="R96" s="98">
        <f t="shared" si="43"/>
        <v>45965963.229769945</v>
      </c>
      <c r="S96" s="98">
        <f t="shared" si="43"/>
        <v>44856669.359677553</v>
      </c>
      <c r="T96" s="98">
        <f t="shared" si="43"/>
        <v>46398489.844631925</v>
      </c>
      <c r="U96" s="98">
        <f t="shared" si="43"/>
        <v>46044960.720840745</v>
      </c>
      <c r="V96" s="98">
        <f t="shared" si="43"/>
        <v>47523794.315649562</v>
      </c>
    </row>
    <row r="97" spans="1:22" x14ac:dyDescent="0.3">
      <c r="A97" s="74" t="s">
        <v>233</v>
      </c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</row>
    <row r="98" spans="1:22" x14ac:dyDescent="0.3">
      <c r="A98" s="70" t="s">
        <v>254</v>
      </c>
      <c r="B98" s="97">
        <f>B95/B$90</f>
        <v>5.7461602651966661</v>
      </c>
      <c r="C98" s="97">
        <f t="shared" ref="C98:V99" si="44">C95/C$90</f>
        <v>5.7900212508760358</v>
      </c>
      <c r="D98" s="97">
        <f t="shared" si="44"/>
        <v>5.6905242430445346</v>
      </c>
      <c r="E98" s="97">
        <f t="shared" si="44"/>
        <v>5.6237110955880443</v>
      </c>
      <c r="F98" s="97">
        <f t="shared" si="44"/>
        <v>5.7499541091886606</v>
      </c>
      <c r="G98" s="97">
        <f t="shared" si="44"/>
        <v>5.6885478281160946</v>
      </c>
      <c r="H98" s="97">
        <f t="shared" si="44"/>
        <v>5.7706713865584804</v>
      </c>
      <c r="I98" s="97">
        <f t="shared" si="44"/>
        <v>5.7311170342902074</v>
      </c>
      <c r="J98" s="97">
        <f t="shared" si="44"/>
        <v>5.786058080798286</v>
      </c>
      <c r="K98" s="97">
        <f t="shared" si="44"/>
        <v>5.8429715927092873</v>
      </c>
      <c r="L98" s="97">
        <f t="shared" si="44"/>
        <v>5.8752215391101741</v>
      </c>
      <c r="M98" s="97">
        <f t="shared" si="44"/>
        <v>5.8895500796128832</v>
      </c>
      <c r="N98" s="97">
        <f t="shared" si="44"/>
        <v>5.9111167716369248</v>
      </c>
      <c r="O98" s="97">
        <f t="shared" si="44"/>
        <v>5.7621984333308687</v>
      </c>
      <c r="P98" s="97">
        <f t="shared" si="44"/>
        <v>5.759522221316745</v>
      </c>
      <c r="Q98" s="97">
        <f t="shared" si="44"/>
        <v>5.7927816779248351</v>
      </c>
      <c r="R98" s="97">
        <f t="shared" si="44"/>
        <v>5.8333286906335804</v>
      </c>
      <c r="S98" s="97">
        <f t="shared" si="44"/>
        <v>5.73631239328218</v>
      </c>
      <c r="T98" s="97">
        <f t="shared" si="44"/>
        <v>5.816693302924552</v>
      </c>
      <c r="U98" s="97">
        <f t="shared" si="44"/>
        <v>5.7326436487115</v>
      </c>
      <c r="V98" s="97">
        <f t="shared" si="44"/>
        <v>6.1492699888295714</v>
      </c>
    </row>
    <row r="99" spans="1:22" x14ac:dyDescent="0.3">
      <c r="A99" s="70" t="s">
        <v>255</v>
      </c>
      <c r="B99" s="97">
        <f>B96/B$90</f>
        <v>11.252822036198575</v>
      </c>
      <c r="C99" s="97">
        <f t="shared" si="44"/>
        <v>11.302640730419514</v>
      </c>
      <c r="D99" s="97">
        <f t="shared" si="44"/>
        <v>11.306274499639219</v>
      </c>
      <c r="E99" s="97">
        <f t="shared" si="44"/>
        <v>11.426245532509311</v>
      </c>
      <c r="F99" s="97">
        <f t="shared" si="44"/>
        <v>11.715526826358206</v>
      </c>
      <c r="G99" s="97">
        <f t="shared" si="44"/>
        <v>11.76768013391805</v>
      </c>
      <c r="H99" s="97">
        <f t="shared" si="44"/>
        <v>11.960178330092747</v>
      </c>
      <c r="I99" s="97">
        <f t="shared" si="44"/>
        <v>11.86273889313639</v>
      </c>
      <c r="J99" s="97">
        <f t="shared" si="44"/>
        <v>12.061189918937398</v>
      </c>
      <c r="K99" s="97">
        <f t="shared" si="44"/>
        <v>12.274708977750345</v>
      </c>
      <c r="L99" s="97">
        <f t="shared" si="44"/>
        <v>12.449198443156213</v>
      </c>
      <c r="M99" s="97">
        <f t="shared" si="44"/>
        <v>12.470362402880385</v>
      </c>
      <c r="N99" s="97">
        <f t="shared" si="44"/>
        <v>12.573900153634733</v>
      </c>
      <c r="O99" s="97">
        <f t="shared" si="44"/>
        <v>11.808635082694408</v>
      </c>
      <c r="P99" s="97">
        <f t="shared" si="44"/>
        <v>11.723660115564147</v>
      </c>
      <c r="Q99" s="97">
        <f t="shared" si="44"/>
        <v>11.501967217445815</v>
      </c>
      <c r="R99" s="97">
        <f t="shared" si="44"/>
        <v>11.587323768671283</v>
      </c>
      <c r="S99" s="97">
        <f t="shared" si="44"/>
        <v>11.365637186706628</v>
      </c>
      <c r="T99" s="97">
        <f t="shared" si="44"/>
        <v>11.544543444384821</v>
      </c>
      <c r="U99" s="97">
        <f t="shared" si="44"/>
        <v>11.313705706992524</v>
      </c>
      <c r="V99" s="97">
        <f t="shared" si="44"/>
        <v>11.902143320630604</v>
      </c>
    </row>
    <row r="100" spans="1:22" x14ac:dyDescent="0.3">
      <c r="A100" s="74" t="s">
        <v>131</v>
      </c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</row>
    <row r="101" spans="1:22" x14ac:dyDescent="0.3">
      <c r="A101" s="70" t="s">
        <v>256</v>
      </c>
      <c r="B101" s="98">
        <v>100</v>
      </c>
      <c r="C101" s="97">
        <f>C90/B90*B101</f>
        <v>100.88025649392934</v>
      </c>
      <c r="D101" s="97">
        <f t="shared" ref="D101:V101" si="45">D90/C90*C101</f>
        <v>102.09201763615263</v>
      </c>
      <c r="E101" s="97">
        <f t="shared" si="45"/>
        <v>103.96447600052095</v>
      </c>
      <c r="F101" s="97">
        <f t="shared" si="45"/>
        <v>106.30151499409541</v>
      </c>
      <c r="G101" s="97">
        <f t="shared" si="45"/>
        <v>107.25376773017211</v>
      </c>
      <c r="H101" s="97">
        <f t="shared" si="45"/>
        <v>106.85222771299253</v>
      </c>
      <c r="I101" s="97">
        <f t="shared" si="45"/>
        <v>108.3536127626509</v>
      </c>
      <c r="J101" s="97">
        <f t="shared" si="45"/>
        <v>109.00149114168184</v>
      </c>
      <c r="K101" s="97">
        <f t="shared" si="45"/>
        <v>108.79118016766927</v>
      </c>
      <c r="L101" s="97">
        <f t="shared" si="45"/>
        <v>108.43090628928145</v>
      </c>
      <c r="M101" s="97">
        <f t="shared" si="45"/>
        <v>109.07538972356073</v>
      </c>
      <c r="N101" s="97">
        <f t="shared" si="45"/>
        <v>109.82862845695367</v>
      </c>
      <c r="O101" s="97">
        <f t="shared" si="45"/>
        <v>111.25348091587409</v>
      </c>
      <c r="P101" s="97">
        <f t="shared" si="45"/>
        <v>112.91325769825667</v>
      </c>
      <c r="Q101" s="97">
        <f t="shared" si="45"/>
        <v>114.55096733975343</v>
      </c>
      <c r="R101" s="97">
        <f t="shared" si="45"/>
        <v>116.09885727915659</v>
      </c>
      <c r="S101" s="97">
        <f t="shared" si="45"/>
        <v>115.50690768823279</v>
      </c>
      <c r="T101" s="97">
        <f t="shared" si="45"/>
        <v>117.62558734739204</v>
      </c>
      <c r="U101" s="97">
        <f t="shared" si="45"/>
        <v>119.11102201007063</v>
      </c>
      <c r="V101" s="97">
        <f t="shared" si="45"/>
        <v>116.85859323440185</v>
      </c>
    </row>
    <row r="102" spans="1:22" x14ac:dyDescent="0.3">
      <c r="A102" s="70" t="s">
        <v>254</v>
      </c>
      <c r="B102" s="98">
        <v>100</v>
      </c>
      <c r="C102" s="97">
        <f>C98/B98*B102</f>
        <v>100.76330947371981</v>
      </c>
      <c r="D102" s="97">
        <f t="shared" ref="D102:V103" si="46">D98/C98*C102</f>
        <v>99.031770441748606</v>
      </c>
      <c r="E102" s="97">
        <f t="shared" si="46"/>
        <v>97.869026202588344</v>
      </c>
      <c r="F102" s="97">
        <f t="shared" si="46"/>
        <v>100.0660239850074</v>
      </c>
      <c r="G102" s="97">
        <f t="shared" si="46"/>
        <v>98.99737503965008</v>
      </c>
      <c r="H102" s="97">
        <f t="shared" si="46"/>
        <v>100.42656522322</v>
      </c>
      <c r="I102" s="97">
        <f t="shared" si="46"/>
        <v>99.738203770654081</v>
      </c>
      <c r="J102" s="97">
        <f t="shared" si="46"/>
        <v>100.69433871942752</v>
      </c>
      <c r="K102" s="97">
        <f t="shared" si="46"/>
        <v>101.68480033700048</v>
      </c>
      <c r="L102" s="97">
        <f t="shared" si="46"/>
        <v>102.24604375717132</v>
      </c>
      <c r="M102" s="97">
        <f t="shared" si="46"/>
        <v>102.49540228254163</v>
      </c>
      <c r="N102" s="97">
        <f t="shared" si="46"/>
        <v>102.87072582084714</v>
      </c>
      <c r="O102" s="97">
        <f t="shared" si="46"/>
        <v>100.27911104796959</v>
      </c>
      <c r="P102" s="97">
        <f t="shared" si="46"/>
        <v>100.23253712920278</v>
      </c>
      <c r="Q102" s="97">
        <f t="shared" si="46"/>
        <v>100.81134898047564</v>
      </c>
      <c r="R102" s="97">
        <f t="shared" si="46"/>
        <v>101.51698562890556</v>
      </c>
      <c r="S102" s="97">
        <f t="shared" si="46"/>
        <v>99.828618217035611</v>
      </c>
      <c r="T102" s="97">
        <f t="shared" si="46"/>
        <v>101.22748121306486</v>
      </c>
      <c r="U102" s="97">
        <f t="shared" si="46"/>
        <v>99.764771327959082</v>
      </c>
      <c r="V102" s="97">
        <f t="shared" si="46"/>
        <v>107.01528855842155</v>
      </c>
    </row>
    <row r="103" spans="1:22" x14ac:dyDescent="0.3">
      <c r="A103" s="70" t="s">
        <v>255</v>
      </c>
      <c r="B103" s="98">
        <v>100</v>
      </c>
      <c r="C103" s="97">
        <f>C99/B99*B103</f>
        <v>100.44272178179554</v>
      </c>
      <c r="D103" s="97">
        <f t="shared" si="46"/>
        <v>100.47501385224699</v>
      </c>
      <c r="E103" s="97">
        <f t="shared" si="46"/>
        <v>101.54115559415105</v>
      </c>
      <c r="F103" s="97">
        <f t="shared" si="46"/>
        <v>104.11190000758194</v>
      </c>
      <c r="G103" s="97">
        <f t="shared" si="46"/>
        <v>104.57536870363059</v>
      </c>
      <c r="H103" s="97">
        <f t="shared" si="46"/>
        <v>106.28603466418218</v>
      </c>
      <c r="I103" s="97">
        <f t="shared" si="46"/>
        <v>105.42012354746045</v>
      </c>
      <c r="J103" s="97">
        <f t="shared" si="46"/>
        <v>107.18369027910005</v>
      </c>
      <c r="K103" s="97">
        <f t="shared" si="46"/>
        <v>109.08116149233075</v>
      </c>
      <c r="L103" s="97">
        <f t="shared" si="46"/>
        <v>110.63178999107144</v>
      </c>
      <c r="M103" s="97">
        <f t="shared" si="46"/>
        <v>110.81986689885592</v>
      </c>
      <c r="N103" s="97">
        <f t="shared" si="46"/>
        <v>111.73997165498984</v>
      </c>
      <c r="O103" s="97">
        <f t="shared" si="46"/>
        <v>104.9393213960718</v>
      </c>
      <c r="P103" s="97">
        <f t="shared" si="46"/>
        <v>104.18417778092433</v>
      </c>
      <c r="Q103" s="97">
        <f t="shared" si="46"/>
        <v>102.21406843941709</v>
      </c>
      <c r="R103" s="97">
        <f t="shared" si="46"/>
        <v>102.9726030625622</v>
      </c>
      <c r="S103" s="97">
        <f t="shared" si="46"/>
        <v>101.00254985056326</v>
      </c>
      <c r="T103" s="97">
        <f t="shared" si="46"/>
        <v>102.5924288791543</v>
      </c>
      <c r="U103" s="97">
        <f t="shared" si="46"/>
        <v>100.5410524630897</v>
      </c>
      <c r="V103" s="97">
        <f t="shared" si="46"/>
        <v>105.77029728492343</v>
      </c>
    </row>
    <row r="104" spans="1:22" x14ac:dyDescent="0.3">
      <c r="A104" s="74" t="s">
        <v>234</v>
      </c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</row>
    <row r="105" spans="1:22" x14ac:dyDescent="0.3">
      <c r="A105" s="70" t="s">
        <v>254</v>
      </c>
      <c r="B105" s="97">
        <f>B95/B$91</f>
        <v>5.7219734896446761</v>
      </c>
      <c r="C105" s="97">
        <f t="shared" ref="C105:V106" si="47">C95/C$91</f>
        <v>5.7665330131079529</v>
      </c>
      <c r="D105" s="97">
        <f t="shared" si="47"/>
        <v>5.6689928591112766</v>
      </c>
      <c r="E105" s="97">
        <f t="shared" si="47"/>
        <v>5.6014507098186606</v>
      </c>
      <c r="F105" s="97">
        <f t="shared" si="47"/>
        <v>5.7271097379132678</v>
      </c>
      <c r="G105" s="97">
        <f t="shared" si="47"/>
        <v>5.6655698273971797</v>
      </c>
      <c r="H105" s="97">
        <f t="shared" si="47"/>
        <v>5.7472289544438873</v>
      </c>
      <c r="I105" s="97">
        <f t="shared" si="47"/>
        <v>5.7072338344207543</v>
      </c>
      <c r="J105" s="97">
        <f t="shared" si="47"/>
        <v>5.7612537081322381</v>
      </c>
      <c r="K105" s="97">
        <f t="shared" si="47"/>
        <v>5.8180776194782267</v>
      </c>
      <c r="L105" s="97">
        <f t="shared" si="47"/>
        <v>5.8495854064033139</v>
      </c>
      <c r="M105" s="97">
        <f t="shared" si="47"/>
        <v>5.863871019593681</v>
      </c>
      <c r="N105" s="97">
        <f t="shared" si="47"/>
        <v>5.8844533193248409</v>
      </c>
      <c r="O105" s="97">
        <f t="shared" si="47"/>
        <v>5.7358080600537482</v>
      </c>
      <c r="P105" s="97">
        <f t="shared" si="47"/>
        <v>5.7323527363237483</v>
      </c>
      <c r="Q105" s="97">
        <f t="shared" si="47"/>
        <v>5.7647681170680718</v>
      </c>
      <c r="R105" s="97">
        <f t="shared" si="47"/>
        <v>5.8043473233771534</v>
      </c>
      <c r="S105" s="97">
        <f t="shared" si="47"/>
        <v>5.7072950333919117</v>
      </c>
      <c r="T105" s="97">
        <f t="shared" si="47"/>
        <v>5.7859445082361569</v>
      </c>
      <c r="U105" s="97">
        <f t="shared" si="47"/>
        <v>5.7013800780391461</v>
      </c>
      <c r="V105" s="97">
        <f t="shared" si="47"/>
        <v>6.1151204381347899</v>
      </c>
    </row>
    <row r="106" spans="1:22" x14ac:dyDescent="0.3">
      <c r="A106" s="70" t="s">
        <v>255</v>
      </c>
      <c r="B106" s="97">
        <f>B96/B$91</f>
        <v>11.205456583730342</v>
      </c>
      <c r="C106" s="97">
        <f t="shared" si="47"/>
        <v>11.25678958387266</v>
      </c>
      <c r="D106" s="97">
        <f t="shared" si="47"/>
        <v>11.263494656041489</v>
      </c>
      <c r="E106" s="97">
        <f t="shared" si="47"/>
        <v>11.381016922944196</v>
      </c>
      <c r="F106" s="97">
        <f t="shared" si="47"/>
        <v>11.668981438442767</v>
      </c>
      <c r="G106" s="97">
        <f t="shared" si="47"/>
        <v>11.720146427470041</v>
      </c>
      <c r="H106" s="97">
        <f t="shared" si="47"/>
        <v>11.911592013215529</v>
      </c>
      <c r="I106" s="97">
        <f t="shared" si="47"/>
        <v>11.813303475522552</v>
      </c>
      <c r="J106" s="97">
        <f t="shared" si="47"/>
        <v>12.009484553148186</v>
      </c>
      <c r="K106" s="97">
        <f t="shared" si="47"/>
        <v>12.222412595359499</v>
      </c>
      <c r="L106" s="97">
        <f t="shared" si="47"/>
        <v>12.394877205861878</v>
      </c>
      <c r="M106" s="97">
        <f t="shared" si="47"/>
        <v>12.415990306493384</v>
      </c>
      <c r="N106" s="97">
        <f t="shared" si="47"/>
        <v>12.517182683810413</v>
      </c>
      <c r="O106" s="97">
        <f t="shared" si="47"/>
        <v>11.75455254955515</v>
      </c>
      <c r="P106" s="97">
        <f t="shared" si="47"/>
        <v>11.668355908837778</v>
      </c>
      <c r="Q106" s="97">
        <f t="shared" si="47"/>
        <v>11.446344361876047</v>
      </c>
      <c r="R106" s="97">
        <f t="shared" si="47"/>
        <v>11.529755182454256</v>
      </c>
      <c r="S106" s="97">
        <f t="shared" si="47"/>
        <v>11.308143667871231</v>
      </c>
      <c r="T106" s="97">
        <f t="shared" si="47"/>
        <v>11.483515506748128</v>
      </c>
      <c r="U106" s="97">
        <f t="shared" si="47"/>
        <v>11.252005231677566</v>
      </c>
      <c r="V106" s="97">
        <f t="shared" si="47"/>
        <v>11.836045580989511</v>
      </c>
    </row>
    <row r="107" spans="1:22" x14ac:dyDescent="0.3">
      <c r="A107" s="74" t="s">
        <v>131</v>
      </c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</row>
    <row r="108" spans="1:22" x14ac:dyDescent="0.3">
      <c r="A108" s="70" t="s">
        <v>256</v>
      </c>
      <c r="B108" s="98">
        <v>100</v>
      </c>
      <c r="C108" s="97">
        <f>C91/B91*B108</f>
        <v>100.86480645168811</v>
      </c>
      <c r="D108" s="97">
        <f t="shared" ref="D108:V108" si="48">D91/C91*C108</f>
        <v>102.04841447293261</v>
      </c>
      <c r="E108" s="97">
        <f t="shared" si="48"/>
        <v>103.93828789655663</v>
      </c>
      <c r="F108" s="97">
        <f t="shared" si="48"/>
        <v>106.2763020766546</v>
      </c>
      <c r="G108" s="97">
        <f t="shared" si="48"/>
        <v>107.23547542497161</v>
      </c>
      <c r="H108" s="97">
        <f t="shared" si="48"/>
        <v>106.83647073635322</v>
      </c>
      <c r="I108" s="97">
        <f t="shared" si="48"/>
        <v>108.34905143491306</v>
      </c>
      <c r="J108" s="97">
        <f t="shared" si="48"/>
        <v>109.00999857779351</v>
      </c>
      <c r="K108" s="97">
        <f t="shared" si="48"/>
        <v>108.79678418133363</v>
      </c>
      <c r="L108" s="97">
        <f t="shared" si="48"/>
        <v>108.44770243710231</v>
      </c>
      <c r="M108" s="97">
        <f t="shared" si="48"/>
        <v>109.09192116779469</v>
      </c>
      <c r="N108" s="97">
        <f t="shared" si="48"/>
        <v>109.86189442565006</v>
      </c>
      <c r="O108" s="97">
        <f t="shared" si="48"/>
        <v>111.29491316380319</v>
      </c>
      <c r="P108" s="97">
        <f t="shared" si="48"/>
        <v>112.9709018887368</v>
      </c>
      <c r="Q108" s="97">
        <f t="shared" si="48"/>
        <v>114.62310945627412</v>
      </c>
      <c r="R108" s="97">
        <f t="shared" si="48"/>
        <v>116.18742000088594</v>
      </c>
      <c r="S108" s="97">
        <f t="shared" si="48"/>
        <v>115.60551023405785</v>
      </c>
      <c r="T108" s="97">
        <f t="shared" si="48"/>
        <v>117.75295457565785</v>
      </c>
      <c r="U108" s="97">
        <f t="shared" si="48"/>
        <v>119.26005628207247</v>
      </c>
      <c r="V108" s="97">
        <f t="shared" si="48"/>
        <v>117.0165547164796</v>
      </c>
    </row>
    <row r="109" spans="1:22" x14ac:dyDescent="0.3">
      <c r="A109" s="70" t="s">
        <v>254</v>
      </c>
      <c r="B109" s="98">
        <v>100</v>
      </c>
      <c r="C109" s="99">
        <f>C105/B105*B109</f>
        <v>100.77874396908545</v>
      </c>
      <c r="D109" s="99">
        <f t="shared" ref="D109:V110" si="49">D105/C105*C109</f>
        <v>99.07408465576988</v>
      </c>
      <c r="E109" s="99">
        <f t="shared" si="49"/>
        <v>97.893685106298875</v>
      </c>
      <c r="F109" s="99">
        <f t="shared" si="49"/>
        <v>100.08976358030822</v>
      </c>
      <c r="G109" s="99">
        <f t="shared" si="49"/>
        <v>99.014262083709895</v>
      </c>
      <c r="H109" s="99">
        <f t="shared" si="49"/>
        <v>100.44137682296009</v>
      </c>
      <c r="I109" s="99">
        <f t="shared" si="49"/>
        <v>99.742402595003355</v>
      </c>
      <c r="J109" s="99">
        <f t="shared" si="49"/>
        <v>100.68648025997763</v>
      </c>
      <c r="K109" s="99">
        <f t="shared" si="49"/>
        <v>101.67956265451903</v>
      </c>
      <c r="L109" s="99">
        <f t="shared" si="49"/>
        <v>102.23020810896072</v>
      </c>
      <c r="M109" s="99">
        <f t="shared" si="49"/>
        <v>102.47987045388805</v>
      </c>
      <c r="N109" s="99">
        <f t="shared" si="49"/>
        <v>102.83957676445395</v>
      </c>
      <c r="O109" s="99">
        <f t="shared" si="49"/>
        <v>100.24177970125359</v>
      </c>
      <c r="P109" s="99">
        <f t="shared" si="49"/>
        <v>100.18139277817097</v>
      </c>
      <c r="Q109" s="99">
        <f t="shared" si="49"/>
        <v>100.74789978494036</v>
      </c>
      <c r="R109" s="99">
        <f t="shared" si="49"/>
        <v>101.43960530193917</v>
      </c>
      <c r="S109" s="99">
        <f t="shared" si="49"/>
        <v>99.743472138077394</v>
      </c>
      <c r="T109" s="99">
        <f t="shared" si="49"/>
        <v>101.11798872726783</v>
      </c>
      <c r="U109" s="99">
        <f t="shared" si="49"/>
        <v>99.640099492897022</v>
      </c>
      <c r="V109" s="99">
        <f t="shared" si="49"/>
        <v>106.87082785688558</v>
      </c>
    </row>
    <row r="110" spans="1:22" x14ac:dyDescent="0.3">
      <c r="A110" s="70" t="s">
        <v>255</v>
      </c>
      <c r="B110" s="98">
        <v>100</v>
      </c>
      <c r="C110" s="99">
        <f>C106/B106*B110</f>
        <v>100.45810717090144</v>
      </c>
      <c r="D110" s="99">
        <f t="shared" si="49"/>
        <v>100.51794473413437</v>
      </c>
      <c r="E110" s="99">
        <f t="shared" si="49"/>
        <v>101.56673972097447</v>
      </c>
      <c r="F110" s="99">
        <f t="shared" si="49"/>
        <v>104.13659944375165</v>
      </c>
      <c r="G110" s="99">
        <f t="shared" si="49"/>
        <v>104.59320724589658</v>
      </c>
      <c r="H110" s="99">
        <f t="shared" si="49"/>
        <v>106.30171045872822</v>
      </c>
      <c r="I110" s="99">
        <f t="shared" si="49"/>
        <v>105.42456157185747</v>
      </c>
      <c r="J110" s="99">
        <f t="shared" si="49"/>
        <v>107.17532537304407</v>
      </c>
      <c r="K110" s="99">
        <f t="shared" si="49"/>
        <v>109.07554283067513</v>
      </c>
      <c r="L110" s="99">
        <f t="shared" si="49"/>
        <v>110.61465557644927</v>
      </c>
      <c r="M110" s="99">
        <f t="shared" si="49"/>
        <v>110.80307360719833</v>
      </c>
      <c r="N110" s="99">
        <f t="shared" si="49"/>
        <v>111.70613700814847</v>
      </c>
      <c r="O110" s="99">
        <f t="shared" si="49"/>
        <v>104.90025517230649</v>
      </c>
      <c r="P110" s="99">
        <f t="shared" si="49"/>
        <v>104.13101707769351</v>
      </c>
      <c r="Q110" s="99">
        <f t="shared" si="49"/>
        <v>102.14973639267369</v>
      </c>
      <c r="R110" s="99">
        <f t="shared" si="49"/>
        <v>102.89411320547859</v>
      </c>
      <c r="S110" s="99">
        <f t="shared" si="49"/>
        <v>100.91640249885026</v>
      </c>
      <c r="T110" s="99">
        <f t="shared" si="49"/>
        <v>102.48146000067064</v>
      </c>
      <c r="U110" s="99">
        <f t="shared" si="49"/>
        <v>100.41541054217109</v>
      </c>
      <c r="V110" s="99">
        <f t="shared" si="49"/>
        <v>105.62751720599</v>
      </c>
    </row>
    <row r="111" spans="1:22" x14ac:dyDescent="0.3"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</row>
    <row r="112" spans="1:22" s="74" customFormat="1" ht="13.95" customHeight="1" x14ac:dyDescent="0.3"/>
    <row r="113" spans="2:21" s="74" customFormat="1" x14ac:dyDescent="0.3"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</row>
    <row r="114" spans="2:21" s="74" customFormat="1" x14ac:dyDescent="0.3"/>
    <row r="115" spans="2:21" s="74" customFormat="1" x14ac:dyDescent="0.3"/>
    <row r="116" spans="2:21" s="74" customFormat="1" x14ac:dyDescent="0.3"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</row>
    <row r="117" spans="2:21" s="74" customFormat="1" x14ac:dyDescent="0.3"/>
    <row r="118" spans="2:21" s="74" customFormat="1" x14ac:dyDescent="0.3"/>
    <row r="119" spans="2:21" s="74" customFormat="1" x14ac:dyDescent="0.3"/>
    <row r="120" spans="2:21" s="74" customFormat="1" x14ac:dyDescent="0.3"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</row>
    <row r="121" spans="2:21" s="74" customFormat="1" x14ac:dyDescent="0.3"/>
    <row r="122" spans="2:21" s="74" customFormat="1" x14ac:dyDescent="0.3"/>
    <row r="123" spans="2:21" s="74" customFormat="1" x14ac:dyDescent="0.3"/>
    <row r="124" spans="2:21" s="74" customFormat="1" x14ac:dyDescent="0.3"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</row>
  </sheetData>
  <conditionalFormatting sqref="B79:U79">
    <cfRule type="cellIs" dxfId="5" priority="5" operator="equal">
      <formula>"-"</formula>
    </cfRule>
    <cfRule type="cellIs" dxfId="4" priority="6" operator="equal">
      <formula>0</formula>
    </cfRule>
  </conditionalFormatting>
  <conditionalFormatting sqref="B8:X8">
    <cfRule type="cellIs" dxfId="3" priority="3" operator="equal">
      <formula>"-"</formula>
    </cfRule>
    <cfRule type="cellIs" dxfId="2" priority="4" operator="equal">
      <formula>0</formula>
    </cfRule>
  </conditionalFormatting>
  <conditionalFormatting sqref="V63:X63">
    <cfRule type="cellIs" dxfId="1" priority="1" operator="equal">
      <formula>"-"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EE905-2B52-41DD-AE6A-7548C1276CF0}">
  <dimension ref="A1:V30"/>
  <sheetViews>
    <sheetView workbookViewId="0">
      <selection activeCell="S23" sqref="S23"/>
    </sheetView>
  </sheetViews>
  <sheetFormatPr defaultRowHeight="14.4" x14ac:dyDescent="0.3"/>
  <cols>
    <col min="1" max="1" width="20" customWidth="1"/>
    <col min="2" max="2" width="14.33203125" bestFit="1" customWidth="1"/>
    <col min="3" max="22" width="10.109375" bestFit="1" customWidth="1"/>
  </cols>
  <sheetData>
    <row r="1" spans="1:22" s="55" customFormat="1" x14ac:dyDescent="0.3">
      <c r="A1" s="56" t="s">
        <v>213</v>
      </c>
      <c r="B1" s="55">
        <v>2003</v>
      </c>
      <c r="C1" s="55">
        <v>2004</v>
      </c>
      <c r="D1" s="55">
        <v>2005</v>
      </c>
      <c r="E1" s="55">
        <v>2006</v>
      </c>
      <c r="F1" s="55">
        <v>2007</v>
      </c>
      <c r="G1" s="55">
        <v>2008</v>
      </c>
      <c r="H1" s="55">
        <v>2009</v>
      </c>
      <c r="I1" s="55">
        <v>2010</v>
      </c>
      <c r="J1" s="55">
        <v>2011</v>
      </c>
      <c r="K1" s="55">
        <v>2012</v>
      </c>
      <c r="L1" s="55">
        <v>2013</v>
      </c>
      <c r="M1" s="55">
        <v>2014</v>
      </c>
      <c r="N1" s="55">
        <v>2015</v>
      </c>
      <c r="O1" s="55">
        <v>2016</v>
      </c>
      <c r="P1" s="55">
        <v>2017</v>
      </c>
      <c r="Q1" s="55">
        <v>2018</v>
      </c>
      <c r="R1" s="55">
        <v>2019</v>
      </c>
      <c r="S1" s="55">
        <v>2020</v>
      </c>
      <c r="T1" s="55">
        <v>2021</v>
      </c>
      <c r="U1" s="55">
        <v>2022</v>
      </c>
      <c r="V1" s="55">
        <v>2023</v>
      </c>
    </row>
    <row r="2" spans="1:22" s="55" customFormat="1" ht="31.2" customHeight="1" x14ac:dyDescent="0.3">
      <c r="A2" s="59" t="s">
        <v>151</v>
      </c>
      <c r="B2" s="100">
        <f>[1]Table!D47</f>
        <v>12106600</v>
      </c>
      <c r="C2" s="100">
        <f>[1]Table!E47</f>
        <v>12506700</v>
      </c>
      <c r="D2" s="100">
        <f>[1]Table!F47</f>
        <v>12709200</v>
      </c>
      <c r="E2" s="100">
        <f>[1]Table!G47</f>
        <v>13016500</v>
      </c>
      <c r="F2" s="100">
        <f>[1]Table!H47</f>
        <v>13848300</v>
      </c>
      <c r="G2" s="100">
        <f>[1]Table!I47</f>
        <v>14406900</v>
      </c>
      <c r="H2" s="100">
        <f>[1]Table!J47</f>
        <v>14645900</v>
      </c>
      <c r="I2" s="100">
        <f>[1]Table!K47</f>
        <v>14996600</v>
      </c>
      <c r="J2" s="100">
        <f>[1]Table!L47</f>
        <v>15696900</v>
      </c>
      <c r="K2" s="100">
        <f>[1]Table!M47</f>
        <v>16239800</v>
      </c>
      <c r="L2" s="100">
        <f>[1]Table!N47</f>
        <v>16477400.000000002</v>
      </c>
      <c r="M2" s="100">
        <f>[1]Table!O47</f>
        <v>16683000</v>
      </c>
      <c r="N2" s="100">
        <f>[1]Table!P47</f>
        <v>17036600</v>
      </c>
      <c r="O2" s="100">
        <f>[1]Table!Q47</f>
        <v>17174800</v>
      </c>
      <c r="P2" s="100">
        <f>[1]Table!R47</f>
        <v>17744500</v>
      </c>
      <c r="Q2" s="100">
        <f>[1]Table!S47</f>
        <v>18425500</v>
      </c>
      <c r="R2" s="100">
        <f>[1]Table!T47</f>
        <v>19080800</v>
      </c>
      <c r="S2" s="100">
        <f>[1]Table!U47</f>
        <v>18851600</v>
      </c>
      <c r="T2" s="100">
        <f>[1]Table!V47</f>
        <v>19857500</v>
      </c>
      <c r="U2" s="100">
        <f>[1]Table!W47</f>
        <v>21651300</v>
      </c>
      <c r="V2" s="100">
        <f>[1]Table!X47</f>
        <v>23772000</v>
      </c>
    </row>
    <row r="3" spans="1:22" s="55" customFormat="1" ht="57" customHeight="1" x14ac:dyDescent="0.3">
      <c r="A3" s="59" t="s">
        <v>260</v>
      </c>
      <c r="B3" s="100">
        <f>[1]Table!D38</f>
        <v>23708600</v>
      </c>
      <c r="C3" s="100">
        <f>[1]Table!E38</f>
        <v>24414200</v>
      </c>
      <c r="D3" s="100">
        <f>[1]Table!F38</f>
        <v>25251400</v>
      </c>
      <c r="E3" s="100">
        <f>[1]Table!G38</f>
        <v>26446900</v>
      </c>
      <c r="F3" s="100">
        <f>[1]Table!H38</f>
        <v>28215900</v>
      </c>
      <c r="G3" s="100">
        <f>[1]Table!I38</f>
        <v>29803000</v>
      </c>
      <c r="H3" s="100">
        <f>[1]Table!J38</f>
        <v>30354800</v>
      </c>
      <c r="I3" s="100">
        <f>[1]Table!K38</f>
        <v>31041200</v>
      </c>
      <c r="J3" s="100">
        <f>[1]Table!L38</f>
        <v>32720600</v>
      </c>
      <c r="K3" s="100">
        <f>[1]Table!M38</f>
        <v>34116000</v>
      </c>
      <c r="L3" s="100">
        <f>[1]Table!N38</f>
        <v>34914500</v>
      </c>
      <c r="M3" s="100">
        <f>[1]Table!O38</f>
        <v>35324100</v>
      </c>
      <c r="N3" s="100">
        <f>[1]Table!P38</f>
        <v>36239600</v>
      </c>
      <c r="O3" s="100">
        <f>[1]Table!Q38</f>
        <v>35196800</v>
      </c>
      <c r="P3" s="100">
        <f>[1]Table!R38</f>
        <v>36119400</v>
      </c>
      <c r="Q3" s="100">
        <f>[1]Table!S38</f>
        <v>36585100</v>
      </c>
      <c r="R3" s="100">
        <f>[1]Table!T38</f>
        <v>37902100</v>
      </c>
      <c r="S3" s="100">
        <f>[1]Table!U38</f>
        <v>37351600</v>
      </c>
      <c r="T3" s="100">
        <f>[1]Table!V38</f>
        <v>39411700</v>
      </c>
      <c r="U3" s="100">
        <f>[1]Table!W38</f>
        <v>42730100</v>
      </c>
      <c r="V3" s="100">
        <f>[1]Table!X38</f>
        <v>46011600</v>
      </c>
    </row>
    <row r="4" spans="1:22" s="55" customFormat="1" ht="28.8" x14ac:dyDescent="0.3">
      <c r="A4" s="60" t="s">
        <v>206</v>
      </c>
      <c r="B4" s="101">
        <f>B2+B3</f>
        <v>35815200</v>
      </c>
      <c r="C4" s="101">
        <f t="shared" ref="C4:V4" si="0">C2+C3</f>
        <v>36920900</v>
      </c>
      <c r="D4" s="101">
        <f t="shared" si="0"/>
        <v>37960600</v>
      </c>
      <c r="E4" s="101">
        <f t="shared" si="0"/>
        <v>39463400</v>
      </c>
      <c r="F4" s="101">
        <f t="shared" si="0"/>
        <v>42064200</v>
      </c>
      <c r="G4" s="101">
        <f t="shared" si="0"/>
        <v>44209900</v>
      </c>
      <c r="H4" s="101">
        <f t="shared" si="0"/>
        <v>45000700</v>
      </c>
      <c r="I4" s="101">
        <f t="shared" si="0"/>
        <v>46037800</v>
      </c>
      <c r="J4" s="101">
        <f t="shared" si="0"/>
        <v>48417500</v>
      </c>
      <c r="K4" s="101">
        <f t="shared" si="0"/>
        <v>50355800</v>
      </c>
      <c r="L4" s="101">
        <f t="shared" si="0"/>
        <v>51391900</v>
      </c>
      <c r="M4" s="101">
        <f t="shared" si="0"/>
        <v>52007100</v>
      </c>
      <c r="N4" s="101">
        <f t="shared" si="0"/>
        <v>53276200</v>
      </c>
      <c r="O4" s="101">
        <f t="shared" si="0"/>
        <v>52371600</v>
      </c>
      <c r="P4" s="101">
        <f t="shared" si="0"/>
        <v>53863900</v>
      </c>
      <c r="Q4" s="101">
        <f t="shared" si="0"/>
        <v>55010600</v>
      </c>
      <c r="R4" s="101">
        <f t="shared" si="0"/>
        <v>56982900</v>
      </c>
      <c r="S4" s="101">
        <f t="shared" si="0"/>
        <v>56203200</v>
      </c>
      <c r="T4" s="101">
        <f t="shared" si="0"/>
        <v>59269200</v>
      </c>
      <c r="U4" s="101">
        <f t="shared" si="0"/>
        <v>64381400</v>
      </c>
      <c r="V4" s="101">
        <f t="shared" si="0"/>
        <v>69783600</v>
      </c>
    </row>
    <row r="5" spans="1:22" s="55" customFormat="1" ht="21.6" customHeight="1" x14ac:dyDescent="0.3">
      <c r="A5" s="58" t="s">
        <v>214</v>
      </c>
      <c r="B5" s="61">
        <f>'[2]Werknemers - Salariés'!D17</f>
        <v>29433699.642999999</v>
      </c>
      <c r="C5" s="61">
        <f>'[2]Werknemers - Salariés'!E17</f>
        <v>30644264.41581</v>
      </c>
      <c r="D5" s="61">
        <f>'[2]Werknemers - Salariés'!F17</f>
        <v>32369813.188689999</v>
      </c>
      <c r="E5" s="61">
        <f>'[2]Werknemers - Salariés'!G17</f>
        <v>32469268.396650009</v>
      </c>
      <c r="F5" s="61">
        <f>'[2]Werknemers - Salariés'!H17</f>
        <v>33123848.60579</v>
      </c>
      <c r="G5" s="61">
        <f>'[2]Werknemers - Salariés'!I17</f>
        <v>34202276.429250002</v>
      </c>
      <c r="H5" s="61">
        <f>'[2]Werknemers - Salariés'!J17</f>
        <v>35153662.244000003</v>
      </c>
      <c r="I5" s="61">
        <f>'[2]Werknemers - Salariés'!K17</f>
        <v>37103312.221569993</v>
      </c>
      <c r="J5" s="61">
        <f>'[2]Werknemers - Salariés'!L17</f>
        <v>38476948.79958</v>
      </c>
      <c r="K5" s="61">
        <f>'[2]Werknemers - Salariés'!M17</f>
        <v>39261165.236699998</v>
      </c>
      <c r="L5" s="61">
        <f>'[2]Werknemers - Salariés'!N17</f>
        <v>39580643.798440017</v>
      </c>
      <c r="M5" s="61">
        <f>'[2]Werknemers - Salariés'!O17</f>
        <v>41462766.483000003</v>
      </c>
      <c r="N5" s="61">
        <f>'[2]Werknemers - Salariés'!P17</f>
        <v>43343818.894059993</v>
      </c>
      <c r="O5" s="61">
        <f>'[2]Werknemers - Salariés'!Q17</f>
        <v>44275102.849219993</v>
      </c>
      <c r="P5" s="61">
        <f>'[2]Werknemers - Salariés'!R17</f>
        <v>45842493.395020001</v>
      </c>
      <c r="Q5" s="61">
        <f>'[2]Werknemers - Salariés'!S17</f>
        <v>47640682.781880014</v>
      </c>
      <c r="R5" s="61">
        <f>'[2]Werknemers - Salariés'!T17</f>
        <v>47640622.342170008</v>
      </c>
      <c r="S5" s="61">
        <f>'[2]Werknemers - Salariés'!U17</f>
        <v>48995747.728340022</v>
      </c>
      <c r="T5" s="61">
        <f>'[2]Werknemers - Salariés'!V17</f>
        <v>49961681.021519989</v>
      </c>
      <c r="U5" s="61">
        <f>'[2]Werknemers - Salariés'!W17</f>
        <v>51749904.124439999</v>
      </c>
      <c r="V5" s="61">
        <f>'[2]Werknemers - Salariés'!X17</f>
        <v>50773063.877800003</v>
      </c>
    </row>
    <row r="6" spans="1:22" s="55" customFormat="1" ht="28.8" x14ac:dyDescent="0.3">
      <c r="A6" s="60" t="s">
        <v>208</v>
      </c>
      <c r="B6" s="62">
        <f>(B4-B5)/B4</f>
        <v>0.17817854868882488</v>
      </c>
      <c r="C6" s="62">
        <f t="shared" ref="C6:U6" si="1">(C4-C5)/C4</f>
        <v>0.17000223678702306</v>
      </c>
      <c r="D6" s="62">
        <f t="shared" si="1"/>
        <v>0.14727867344852297</v>
      </c>
      <c r="E6" s="62">
        <f t="shared" si="1"/>
        <v>0.17723084182685706</v>
      </c>
      <c r="F6" s="62">
        <f t="shared" si="1"/>
        <v>0.21254062585785535</v>
      </c>
      <c r="G6" s="62">
        <f t="shared" si="1"/>
        <v>0.22636612095367775</v>
      </c>
      <c r="H6" s="62">
        <f t="shared" si="1"/>
        <v>0.21881965738310732</v>
      </c>
      <c r="I6" s="62">
        <f t="shared" si="1"/>
        <v>0.19406852148517104</v>
      </c>
      <c r="J6" s="62">
        <f t="shared" si="1"/>
        <v>0.20530905561873289</v>
      </c>
      <c r="K6" s="62">
        <f t="shared" si="1"/>
        <v>0.22032486353707023</v>
      </c>
      <c r="L6" s="62">
        <f t="shared" si="1"/>
        <v>0.2298271945882519</v>
      </c>
      <c r="M6" s="62">
        <f t="shared" si="1"/>
        <v>0.20274796166292675</v>
      </c>
      <c r="N6" s="62">
        <f t="shared" si="1"/>
        <v>0.18643186086732924</v>
      </c>
      <c r="O6" s="62">
        <f t="shared" si="1"/>
        <v>0.15459709366870608</v>
      </c>
      <c r="P6" s="62">
        <f t="shared" si="1"/>
        <v>0.14891990006256509</v>
      </c>
      <c r="Q6" s="62">
        <f t="shared" si="1"/>
        <v>0.13397267468669649</v>
      </c>
      <c r="R6" s="62">
        <f t="shared" si="1"/>
        <v>0.16394879266990611</v>
      </c>
      <c r="S6" s="62">
        <f t="shared" si="1"/>
        <v>0.12823917982712688</v>
      </c>
      <c r="T6" s="62">
        <f t="shared" si="1"/>
        <v>0.15703803963070215</v>
      </c>
      <c r="U6" s="62">
        <f t="shared" si="1"/>
        <v>0.19619790615861105</v>
      </c>
      <c r="V6" s="62">
        <f>(V4-V5)/V4</f>
        <v>0.27242125832143937</v>
      </c>
    </row>
    <row r="7" spans="1:22" x14ac:dyDescent="0.3">
      <c r="A7" s="53"/>
    </row>
    <row r="8" spans="1:22" x14ac:dyDescent="0.3">
      <c r="A8" s="53" t="s">
        <v>257</v>
      </c>
      <c r="B8" s="2">
        <f>B2/B4</f>
        <v>0.33802966338314461</v>
      </c>
      <c r="C8" s="2">
        <f t="shared" ref="C8:V8" si="2">C2/C4</f>
        <v>0.3387430967284113</v>
      </c>
      <c r="D8" s="2">
        <f t="shared" si="2"/>
        <v>0.33479976607324435</v>
      </c>
      <c r="E8" s="2">
        <f t="shared" si="2"/>
        <v>0.32983726693594573</v>
      </c>
      <c r="F8" s="2">
        <f t="shared" si="2"/>
        <v>0.32921819504471739</v>
      </c>
      <c r="G8" s="2">
        <f t="shared" si="2"/>
        <v>0.32587497370498464</v>
      </c>
      <c r="H8" s="2">
        <f t="shared" si="2"/>
        <v>0.32545938174295064</v>
      </c>
      <c r="I8" s="2">
        <f t="shared" si="2"/>
        <v>0.32574536576465424</v>
      </c>
      <c r="J8" s="2">
        <f t="shared" si="2"/>
        <v>0.32419889502762433</v>
      </c>
      <c r="K8" s="2">
        <f t="shared" si="2"/>
        <v>0.32250108229836483</v>
      </c>
      <c r="L8" s="2">
        <f t="shared" si="2"/>
        <v>0.32062251055127367</v>
      </c>
      <c r="M8" s="2">
        <f t="shared" si="2"/>
        <v>0.32078312384270607</v>
      </c>
      <c r="N8" s="2">
        <f t="shared" si="2"/>
        <v>0.31977881305348355</v>
      </c>
      <c r="O8" s="2">
        <f t="shared" si="2"/>
        <v>0.32794109784692466</v>
      </c>
      <c r="P8" s="2">
        <f t="shared" si="2"/>
        <v>0.32943214286377331</v>
      </c>
      <c r="Q8" s="2">
        <f t="shared" si="2"/>
        <v>0.33494453796177465</v>
      </c>
      <c r="R8" s="2">
        <f>R2/R4</f>
        <v>0.33485133259276029</v>
      </c>
      <c r="S8" s="2">
        <f t="shared" si="2"/>
        <v>0.33541862385059923</v>
      </c>
      <c r="T8" s="2">
        <f t="shared" si="2"/>
        <v>0.33503910968934963</v>
      </c>
      <c r="U8" s="2">
        <f t="shared" si="2"/>
        <v>0.33629743994383471</v>
      </c>
      <c r="V8" s="2">
        <f t="shared" si="2"/>
        <v>0.34065310474094201</v>
      </c>
    </row>
    <row r="9" spans="1:22" x14ac:dyDescent="0.3">
      <c r="A9" s="53" t="s">
        <v>258</v>
      </c>
      <c r="B9" s="2">
        <f t="shared" ref="B9:V9" si="3">B3/B4</f>
        <v>0.66197033661685545</v>
      </c>
      <c r="C9" s="2">
        <f t="shared" si="3"/>
        <v>0.6612569032715887</v>
      </c>
      <c r="D9" s="2">
        <f t="shared" si="3"/>
        <v>0.66520023392675565</v>
      </c>
      <c r="E9" s="2">
        <f t="shared" si="3"/>
        <v>0.67016273306405427</v>
      </c>
      <c r="F9" s="2">
        <f t="shared" si="3"/>
        <v>0.67078180495528261</v>
      </c>
      <c r="G9" s="2">
        <f t="shared" si="3"/>
        <v>0.67412502629501536</v>
      </c>
      <c r="H9" s="2">
        <f t="shared" si="3"/>
        <v>0.67454061825704936</v>
      </c>
      <c r="I9" s="2">
        <f t="shared" si="3"/>
        <v>0.67425463423534571</v>
      </c>
      <c r="J9" s="2">
        <f t="shared" si="3"/>
        <v>0.67580110497237567</v>
      </c>
      <c r="K9" s="2">
        <f t="shared" si="3"/>
        <v>0.67749891770163517</v>
      </c>
      <c r="L9" s="2">
        <f t="shared" si="3"/>
        <v>0.67937748944872633</v>
      </c>
      <c r="M9" s="2">
        <f t="shared" si="3"/>
        <v>0.67921687615729387</v>
      </c>
      <c r="N9" s="2">
        <f t="shared" si="3"/>
        <v>0.68022118694651645</v>
      </c>
      <c r="O9" s="2">
        <f t="shared" si="3"/>
        <v>0.67205890215307529</v>
      </c>
      <c r="P9" s="2">
        <f t="shared" si="3"/>
        <v>0.67056785713622669</v>
      </c>
      <c r="Q9" s="2">
        <f t="shared" si="3"/>
        <v>0.66505546203822541</v>
      </c>
      <c r="R9" s="2">
        <f t="shared" si="3"/>
        <v>0.66514866740723977</v>
      </c>
      <c r="S9" s="2">
        <f t="shared" si="3"/>
        <v>0.66458137614940072</v>
      </c>
      <c r="T9" s="2">
        <f t="shared" si="3"/>
        <v>0.66496089031065042</v>
      </c>
      <c r="U9" s="2">
        <f t="shared" si="3"/>
        <v>0.66370256005616524</v>
      </c>
      <c r="V9" s="2">
        <f t="shared" si="3"/>
        <v>0.65934689525905799</v>
      </c>
    </row>
    <row r="10" spans="1:22" x14ac:dyDescent="0.3">
      <c r="A10" s="53"/>
    </row>
    <row r="11" spans="1:22" x14ac:dyDescent="0.3">
      <c r="A11" s="53"/>
    </row>
    <row r="12" spans="1:22" x14ac:dyDescent="0.3">
      <c r="A12" s="53"/>
    </row>
    <row r="13" spans="1:22" x14ac:dyDescent="0.3">
      <c r="A13" s="53"/>
    </row>
    <row r="14" spans="1:22" x14ac:dyDescent="0.3">
      <c r="A14" s="53"/>
    </row>
    <row r="15" spans="1:22" x14ac:dyDescent="0.3">
      <c r="A15" s="53"/>
    </row>
    <row r="16" spans="1:22" x14ac:dyDescent="0.3">
      <c r="A16" s="53"/>
    </row>
    <row r="17" spans="1:1" x14ac:dyDescent="0.3">
      <c r="A17" s="53"/>
    </row>
    <row r="18" spans="1:1" x14ac:dyDescent="0.3">
      <c r="A18" s="53"/>
    </row>
    <row r="19" spans="1:1" x14ac:dyDescent="0.3">
      <c r="A19" s="53"/>
    </row>
    <row r="20" spans="1:1" x14ac:dyDescent="0.3">
      <c r="A20" s="53"/>
    </row>
    <row r="21" spans="1:1" x14ac:dyDescent="0.3">
      <c r="A21" s="53"/>
    </row>
    <row r="22" spans="1:1" x14ac:dyDescent="0.3">
      <c r="A22" s="53"/>
    </row>
    <row r="23" spans="1:1" x14ac:dyDescent="0.3">
      <c r="A23" s="53"/>
    </row>
    <row r="24" spans="1:1" x14ac:dyDescent="0.3">
      <c r="A24" s="53"/>
    </row>
    <row r="25" spans="1:1" x14ac:dyDescent="0.3">
      <c r="A25" s="53"/>
    </row>
    <row r="26" spans="1:1" x14ac:dyDescent="0.3">
      <c r="A26" s="53"/>
    </row>
    <row r="27" spans="1:1" x14ac:dyDescent="0.3">
      <c r="A27" s="53"/>
    </row>
    <row r="28" spans="1:1" x14ac:dyDescent="0.3">
      <c r="A28" s="53"/>
    </row>
    <row r="29" spans="1:1" x14ac:dyDescent="0.3">
      <c r="A29" s="53"/>
    </row>
    <row r="30" spans="1:1" x14ac:dyDescent="0.3">
      <c r="A30" s="5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A073E-92C6-42B9-949D-5C0F7C427E94}">
  <dimension ref="A1:X24"/>
  <sheetViews>
    <sheetView topLeftCell="A8" zoomScale="90" zoomScaleNormal="90" workbookViewId="0">
      <selection activeCell="N24" sqref="N24:W24"/>
    </sheetView>
  </sheetViews>
  <sheetFormatPr defaultRowHeight="14.4" x14ac:dyDescent="0.3"/>
  <cols>
    <col min="1" max="1" width="11.88671875" style="26" customWidth="1"/>
    <col min="2" max="2" width="38.5546875" customWidth="1"/>
    <col min="4" max="4" width="12" bestFit="1" customWidth="1"/>
  </cols>
  <sheetData>
    <row r="1" spans="1:24" s="26" customFormat="1" x14ac:dyDescent="0.3">
      <c r="A1" s="56" t="s">
        <v>161</v>
      </c>
      <c r="B1" s="56" t="s">
        <v>162</v>
      </c>
      <c r="C1" s="26" t="s">
        <v>164</v>
      </c>
      <c r="D1" s="26" t="s">
        <v>165</v>
      </c>
      <c r="E1" s="26" t="s">
        <v>166</v>
      </c>
      <c r="F1" s="26" t="s">
        <v>167</v>
      </c>
      <c r="G1" s="26" t="s">
        <v>168</v>
      </c>
      <c r="H1" s="26" t="s">
        <v>169</v>
      </c>
      <c r="I1" s="26" t="s">
        <v>170</v>
      </c>
      <c r="J1" s="26" t="s">
        <v>171</v>
      </c>
      <c r="K1" s="26" t="s">
        <v>172</v>
      </c>
      <c r="L1" s="26" t="s">
        <v>173</v>
      </c>
      <c r="M1" s="26" t="s">
        <v>174</v>
      </c>
      <c r="N1" s="26" t="s">
        <v>175</v>
      </c>
      <c r="O1" s="26" t="s">
        <v>176</v>
      </c>
      <c r="P1" s="26" t="s">
        <v>177</v>
      </c>
      <c r="Q1" s="26" t="s">
        <v>178</v>
      </c>
      <c r="R1" s="26" t="s">
        <v>179</v>
      </c>
      <c r="S1" s="26" t="s">
        <v>180</v>
      </c>
      <c r="T1" s="26" t="s">
        <v>181</v>
      </c>
      <c r="U1" s="26" t="s">
        <v>182</v>
      </c>
      <c r="V1" s="26" t="s">
        <v>183</v>
      </c>
      <c r="W1" s="26" t="s">
        <v>184</v>
      </c>
      <c r="X1" s="26" t="s">
        <v>185</v>
      </c>
    </row>
    <row r="2" spans="1:24" s="55" customFormat="1" ht="42" customHeight="1" x14ac:dyDescent="0.3">
      <c r="A2" s="54" t="s">
        <v>160</v>
      </c>
      <c r="B2" s="57" t="s">
        <v>209</v>
      </c>
      <c r="C2" s="55">
        <v>3282810</v>
      </c>
      <c r="D2" s="55">
        <v>3307868</v>
      </c>
      <c r="E2" s="55">
        <v>3343796</v>
      </c>
      <c r="F2" s="55">
        <v>3400589</v>
      </c>
      <c r="G2" s="55">
        <v>3469911</v>
      </c>
      <c r="H2" s="55">
        <v>3494375</v>
      </c>
      <c r="I2" s="55">
        <v>3476291</v>
      </c>
      <c r="J2" s="55">
        <v>3519456</v>
      </c>
      <c r="K2" s="55">
        <v>3534952</v>
      </c>
      <c r="L2" s="55">
        <v>3521105</v>
      </c>
      <c r="M2" s="55">
        <v>3504422</v>
      </c>
      <c r="N2" s="55">
        <v>3521770</v>
      </c>
      <c r="O2" s="55">
        <v>3543376</v>
      </c>
      <c r="P2" s="55">
        <v>3584978</v>
      </c>
      <c r="Q2" s="55">
        <v>3631146</v>
      </c>
      <c r="R2" s="55">
        <v>3677621</v>
      </c>
      <c r="S2" s="55">
        <v>3719648</v>
      </c>
      <c r="T2" s="55">
        <v>3685781</v>
      </c>
      <c r="U2" s="55">
        <v>3741208</v>
      </c>
      <c r="V2" s="55">
        <v>3781366</v>
      </c>
      <c r="W2" s="55">
        <v>3696753</v>
      </c>
    </row>
    <row r="3" spans="1:24" s="55" customFormat="1" ht="43.2" customHeight="1" x14ac:dyDescent="0.3">
      <c r="A3" s="54" t="s">
        <v>152</v>
      </c>
      <c r="B3" s="57" t="s">
        <v>210</v>
      </c>
      <c r="C3" s="55">
        <v>607586</v>
      </c>
      <c r="D3" s="55">
        <v>610856</v>
      </c>
      <c r="E3" s="55">
        <v>619161</v>
      </c>
      <c r="F3" s="55">
        <v>628879</v>
      </c>
      <c r="G3" s="55">
        <v>644711</v>
      </c>
      <c r="H3" s="55">
        <v>658933</v>
      </c>
      <c r="I3" s="55">
        <v>671678</v>
      </c>
      <c r="J3" s="55">
        <v>684305</v>
      </c>
      <c r="K3" s="55">
        <v>696052</v>
      </c>
      <c r="L3" s="55">
        <v>710144</v>
      </c>
      <c r="M3" s="55">
        <v>719354</v>
      </c>
      <c r="N3" s="55">
        <v>730291</v>
      </c>
      <c r="O3" s="55">
        <v>746190</v>
      </c>
      <c r="P3" s="55">
        <v>762006</v>
      </c>
      <c r="Q3" s="55">
        <v>781334</v>
      </c>
      <c r="R3" s="55">
        <v>797011</v>
      </c>
      <c r="S3" s="55">
        <v>817839</v>
      </c>
      <c r="T3" s="55">
        <v>845105</v>
      </c>
      <c r="U3" s="55">
        <v>874522</v>
      </c>
      <c r="V3" s="55">
        <v>890990</v>
      </c>
      <c r="W3" s="55">
        <v>881138</v>
      </c>
    </row>
    <row r="4" spans="1:24" s="55" customFormat="1" ht="37.950000000000003" customHeight="1" x14ac:dyDescent="0.3">
      <c r="A4" s="54" t="s">
        <v>153</v>
      </c>
      <c r="B4" s="57" t="s">
        <v>211</v>
      </c>
      <c r="C4" s="55">
        <v>97093</v>
      </c>
      <c r="D4" s="55">
        <v>92569</v>
      </c>
      <c r="E4" s="55">
        <v>86632</v>
      </c>
      <c r="F4" s="55">
        <v>82724</v>
      </c>
      <c r="G4" s="55">
        <v>79834</v>
      </c>
      <c r="H4" s="55">
        <v>76299</v>
      </c>
      <c r="I4" s="55">
        <v>69306</v>
      </c>
      <c r="J4" s="55">
        <v>66188</v>
      </c>
      <c r="K4" s="55">
        <v>64205</v>
      </c>
      <c r="L4" s="55">
        <v>62184</v>
      </c>
      <c r="M4" s="55">
        <v>60330</v>
      </c>
      <c r="N4" s="55">
        <v>58925</v>
      </c>
      <c r="O4" s="55">
        <v>58149</v>
      </c>
      <c r="P4" s="55">
        <v>56592</v>
      </c>
      <c r="Q4" s="55">
        <v>55022</v>
      </c>
      <c r="R4" s="55">
        <v>53891</v>
      </c>
      <c r="S4" s="55">
        <v>52358</v>
      </c>
      <c r="T4" s="55">
        <v>51145</v>
      </c>
      <c r="U4" s="55">
        <v>49780</v>
      </c>
      <c r="V4" s="55">
        <v>47354</v>
      </c>
      <c r="W4" s="55">
        <v>41763</v>
      </c>
    </row>
    <row r="5" spans="1:24" s="55" customFormat="1" ht="57" customHeight="1" x14ac:dyDescent="0.3">
      <c r="A5" s="54" t="s">
        <v>154</v>
      </c>
      <c r="B5" s="57" t="s">
        <v>155</v>
      </c>
      <c r="C5" s="55">
        <v>134035</v>
      </c>
      <c r="D5" s="55">
        <v>139054</v>
      </c>
      <c r="E5" s="55">
        <v>144530</v>
      </c>
      <c r="F5" s="55">
        <v>151716</v>
      </c>
      <c r="G5" s="55">
        <v>162247</v>
      </c>
      <c r="H5" s="55">
        <v>170320</v>
      </c>
      <c r="I5" s="55">
        <v>174684</v>
      </c>
      <c r="J5" s="55">
        <v>182819</v>
      </c>
      <c r="K5" s="55">
        <v>189460</v>
      </c>
      <c r="L5" s="55">
        <v>196121</v>
      </c>
      <c r="M5" s="55">
        <v>200494</v>
      </c>
      <c r="N5" s="55">
        <v>205167</v>
      </c>
      <c r="O5" s="55">
        <v>209298</v>
      </c>
      <c r="P5" s="55">
        <v>216381</v>
      </c>
      <c r="Q5" s="55">
        <v>226925</v>
      </c>
      <c r="R5" s="55">
        <v>236408</v>
      </c>
      <c r="S5" s="55">
        <v>247270</v>
      </c>
      <c r="T5" s="55">
        <v>260911</v>
      </c>
      <c r="U5" s="55">
        <v>277876</v>
      </c>
      <c r="V5" s="55">
        <v>288473</v>
      </c>
      <c r="W5" s="55">
        <v>296124</v>
      </c>
    </row>
    <row r="6" spans="1:24" s="55" customFormat="1" ht="54.6" customHeight="1" x14ac:dyDescent="0.3">
      <c r="A6" s="54" t="s">
        <v>156</v>
      </c>
      <c r="B6" s="57" t="s">
        <v>157</v>
      </c>
      <c r="C6" s="55">
        <v>12693</v>
      </c>
      <c r="D6" s="55">
        <v>12493</v>
      </c>
      <c r="E6" s="55">
        <v>11939</v>
      </c>
      <c r="F6" s="55">
        <v>12905</v>
      </c>
      <c r="G6" s="55">
        <v>13229</v>
      </c>
      <c r="H6" s="55">
        <v>13566</v>
      </c>
      <c r="I6" s="55">
        <v>13780</v>
      </c>
      <c r="J6" s="55">
        <v>14337</v>
      </c>
      <c r="K6" s="55">
        <v>14867</v>
      </c>
      <c r="L6" s="55">
        <v>14848</v>
      </c>
      <c r="M6" s="55">
        <v>15212</v>
      </c>
      <c r="N6" s="55">
        <v>15320</v>
      </c>
      <c r="O6" s="55">
        <v>16002</v>
      </c>
      <c r="P6" s="55">
        <v>16452</v>
      </c>
      <c r="Q6" s="55">
        <v>17236</v>
      </c>
      <c r="R6" s="55">
        <v>18001</v>
      </c>
      <c r="S6" s="55">
        <v>18790</v>
      </c>
      <c r="T6" s="55">
        <v>19065</v>
      </c>
      <c r="U6" s="55">
        <v>20364</v>
      </c>
      <c r="V6" s="55">
        <v>21284</v>
      </c>
      <c r="W6" s="55">
        <v>21344</v>
      </c>
    </row>
    <row r="7" spans="1:24" s="55" customFormat="1" ht="54" customHeight="1" x14ac:dyDescent="0.3">
      <c r="A7" s="54" t="s">
        <v>158</v>
      </c>
      <c r="B7" s="57" t="s">
        <v>159</v>
      </c>
      <c r="C7" s="55">
        <v>1750</v>
      </c>
      <c r="D7" s="55">
        <v>1547</v>
      </c>
      <c r="E7" s="55">
        <v>1310</v>
      </c>
      <c r="F7" s="55">
        <v>1212</v>
      </c>
      <c r="G7" s="55">
        <v>1259</v>
      </c>
      <c r="H7" s="55">
        <v>1297</v>
      </c>
      <c r="I7" s="55">
        <v>1112</v>
      </c>
      <c r="J7" s="55">
        <v>1156</v>
      </c>
      <c r="K7" s="55">
        <v>1168</v>
      </c>
      <c r="L7" s="55">
        <v>1057</v>
      </c>
      <c r="M7" s="55">
        <v>1025</v>
      </c>
      <c r="N7" s="55">
        <v>1001</v>
      </c>
      <c r="O7" s="55">
        <v>1002</v>
      </c>
      <c r="P7" s="55">
        <v>1038</v>
      </c>
      <c r="Q7" s="55">
        <v>1050</v>
      </c>
      <c r="R7" s="55">
        <v>1019</v>
      </c>
      <c r="S7" s="55">
        <v>1017</v>
      </c>
      <c r="T7" s="55">
        <v>1001</v>
      </c>
      <c r="U7" s="55">
        <v>995</v>
      </c>
      <c r="V7" s="55">
        <v>1033</v>
      </c>
      <c r="W7" s="55">
        <v>954</v>
      </c>
    </row>
    <row r="8" spans="1:24" s="55" customFormat="1" x14ac:dyDescent="0.3">
      <c r="A8" s="54" t="s">
        <v>163</v>
      </c>
      <c r="B8" s="58"/>
      <c r="C8" s="55">
        <v>4135967</v>
      </c>
      <c r="D8" s="55">
        <v>4164387</v>
      </c>
      <c r="E8" s="55">
        <v>4207368</v>
      </c>
      <c r="F8" s="55">
        <v>4278025</v>
      </c>
      <c r="G8" s="55">
        <v>4371191</v>
      </c>
      <c r="H8" s="55">
        <v>4414790</v>
      </c>
      <c r="I8" s="55">
        <v>4406851</v>
      </c>
      <c r="J8" s="55">
        <v>4468261</v>
      </c>
      <c r="K8" s="55">
        <v>4500704</v>
      </c>
      <c r="L8" s="55">
        <v>4505459</v>
      </c>
      <c r="M8" s="55">
        <v>4500837</v>
      </c>
      <c r="N8" s="55">
        <v>4532474</v>
      </c>
      <c r="O8" s="55">
        <v>4574017</v>
      </c>
      <c r="P8" s="55">
        <v>4637447</v>
      </c>
      <c r="Q8" s="55">
        <v>4712713</v>
      </c>
      <c r="R8" s="55">
        <v>4783951</v>
      </c>
      <c r="S8" s="55">
        <v>4856922</v>
      </c>
      <c r="T8" s="55">
        <v>4863008</v>
      </c>
      <c r="U8" s="55">
        <v>4964745</v>
      </c>
      <c r="V8" s="55">
        <v>5030500</v>
      </c>
      <c r="W8" s="55">
        <v>4938076</v>
      </c>
    </row>
    <row r="9" spans="1:24" s="67" customFormat="1" ht="51" customHeight="1" x14ac:dyDescent="0.3">
      <c r="A9" s="65" t="s">
        <v>218</v>
      </c>
      <c r="B9" s="66" t="s">
        <v>215</v>
      </c>
      <c r="C9" s="67">
        <f>C3+C4+C6+C7</f>
        <v>719122</v>
      </c>
      <c r="D9" s="67">
        <f t="shared" ref="D9:W9" si="0">D3+D4+D6+D7</f>
        <v>717465</v>
      </c>
      <c r="E9" s="67">
        <f t="shared" si="0"/>
        <v>719042</v>
      </c>
      <c r="F9" s="67">
        <f t="shared" si="0"/>
        <v>725720</v>
      </c>
      <c r="G9" s="67">
        <f t="shared" si="0"/>
        <v>739033</v>
      </c>
      <c r="H9" s="67">
        <f t="shared" si="0"/>
        <v>750095</v>
      </c>
      <c r="I9" s="67">
        <f t="shared" si="0"/>
        <v>755876</v>
      </c>
      <c r="J9" s="67">
        <f t="shared" si="0"/>
        <v>765986</v>
      </c>
      <c r="K9" s="67">
        <f t="shared" si="0"/>
        <v>776292</v>
      </c>
      <c r="L9" s="67">
        <f t="shared" si="0"/>
        <v>788233</v>
      </c>
      <c r="M9" s="67">
        <f t="shared" si="0"/>
        <v>795921</v>
      </c>
      <c r="N9" s="67">
        <f t="shared" si="0"/>
        <v>805537</v>
      </c>
      <c r="O9" s="67">
        <f t="shared" si="0"/>
        <v>821343</v>
      </c>
      <c r="P9" s="67">
        <f t="shared" si="0"/>
        <v>836088</v>
      </c>
      <c r="Q9" s="67">
        <f t="shared" si="0"/>
        <v>854642</v>
      </c>
      <c r="R9" s="67">
        <f t="shared" si="0"/>
        <v>869922</v>
      </c>
      <c r="S9" s="67">
        <f t="shared" si="0"/>
        <v>890004</v>
      </c>
      <c r="T9" s="67">
        <f t="shared" si="0"/>
        <v>916316</v>
      </c>
      <c r="U9" s="67">
        <f t="shared" si="0"/>
        <v>945661</v>
      </c>
      <c r="V9" s="67">
        <f t="shared" si="0"/>
        <v>960661</v>
      </c>
      <c r="W9" s="67">
        <f t="shared" si="0"/>
        <v>945199</v>
      </c>
    </row>
    <row r="10" spans="1:24" s="67" customFormat="1" ht="51" customHeight="1" x14ac:dyDescent="0.3">
      <c r="A10" s="65" t="s">
        <v>217</v>
      </c>
      <c r="B10" s="66" t="s">
        <v>216</v>
      </c>
      <c r="C10" s="67">
        <f>C2+C5</f>
        <v>3416845</v>
      </c>
      <c r="D10" s="67">
        <f t="shared" ref="D10:W10" si="1">D2+D5</f>
        <v>3446922</v>
      </c>
      <c r="E10" s="67">
        <f t="shared" si="1"/>
        <v>3488326</v>
      </c>
      <c r="F10" s="67">
        <f t="shared" si="1"/>
        <v>3552305</v>
      </c>
      <c r="G10" s="67">
        <f t="shared" si="1"/>
        <v>3632158</v>
      </c>
      <c r="H10" s="67">
        <f t="shared" si="1"/>
        <v>3664695</v>
      </c>
      <c r="I10" s="67">
        <f t="shared" si="1"/>
        <v>3650975</v>
      </c>
      <c r="J10" s="67">
        <f t="shared" si="1"/>
        <v>3702275</v>
      </c>
      <c r="K10" s="67">
        <f t="shared" si="1"/>
        <v>3724412</v>
      </c>
      <c r="L10" s="67">
        <f t="shared" si="1"/>
        <v>3717226</v>
      </c>
      <c r="M10" s="67">
        <f t="shared" si="1"/>
        <v>3704916</v>
      </c>
      <c r="N10" s="67">
        <f t="shared" si="1"/>
        <v>3726937</v>
      </c>
      <c r="O10" s="67">
        <f t="shared" si="1"/>
        <v>3752674</v>
      </c>
      <c r="P10" s="67">
        <f t="shared" si="1"/>
        <v>3801359</v>
      </c>
      <c r="Q10" s="67">
        <f t="shared" si="1"/>
        <v>3858071</v>
      </c>
      <c r="R10" s="67">
        <f t="shared" si="1"/>
        <v>3914029</v>
      </c>
      <c r="S10" s="67">
        <f t="shared" si="1"/>
        <v>3966918</v>
      </c>
      <c r="T10" s="67">
        <f t="shared" si="1"/>
        <v>3946692</v>
      </c>
      <c r="U10" s="67">
        <f t="shared" si="1"/>
        <v>4019084</v>
      </c>
      <c r="V10" s="67">
        <f t="shared" si="1"/>
        <v>4069839</v>
      </c>
      <c r="W10" s="67">
        <f t="shared" si="1"/>
        <v>3992877</v>
      </c>
    </row>
    <row r="11" spans="1:24" ht="51" customHeight="1" x14ac:dyDescent="0.3">
      <c r="A11" s="63" t="s">
        <v>219</v>
      </c>
      <c r="B11" s="64"/>
      <c r="C11">
        <f>C9+C10</f>
        <v>4135967</v>
      </c>
    </row>
    <row r="12" spans="1:24" ht="94.2" customHeight="1" x14ac:dyDescent="0.3">
      <c r="A12" s="63" t="s">
        <v>212</v>
      </c>
      <c r="B12" s="48"/>
      <c r="C12" t="s">
        <v>207</v>
      </c>
      <c r="D12" t="s">
        <v>187</v>
      </c>
      <c r="E12" t="s">
        <v>186</v>
      </c>
      <c r="F12" t="s">
        <v>188</v>
      </c>
      <c r="G12" t="s">
        <v>189</v>
      </c>
      <c r="H12" t="s">
        <v>190</v>
      </c>
      <c r="I12" t="s">
        <v>191</v>
      </c>
      <c r="J12" t="s">
        <v>192</v>
      </c>
      <c r="K12" t="s">
        <v>193</v>
      </c>
      <c r="L12" t="s">
        <v>194</v>
      </c>
      <c r="M12" t="s">
        <v>195</v>
      </c>
      <c r="N12" t="s">
        <v>196</v>
      </c>
      <c r="O12" t="s">
        <v>197</v>
      </c>
      <c r="P12" t="s">
        <v>198</v>
      </c>
      <c r="Q12" t="s">
        <v>199</v>
      </c>
      <c r="R12" t="s">
        <v>200</v>
      </c>
      <c r="S12" t="s">
        <v>201</v>
      </c>
      <c r="T12" t="s">
        <v>202</v>
      </c>
      <c r="U12" t="s">
        <v>203</v>
      </c>
      <c r="V12" t="s">
        <v>204</v>
      </c>
      <c r="W12" t="s">
        <v>205</v>
      </c>
    </row>
    <row r="14" spans="1:24" s="26" customFormat="1" x14ac:dyDescent="0.3">
      <c r="C14" s="26">
        <v>2003</v>
      </c>
      <c r="D14" s="26">
        <v>2004</v>
      </c>
      <c r="E14" s="26">
        <v>2005</v>
      </c>
      <c r="F14" s="26">
        <v>2006</v>
      </c>
      <c r="G14" s="26">
        <v>2007</v>
      </c>
      <c r="H14" s="26">
        <v>2008</v>
      </c>
      <c r="I14" s="26">
        <v>2009</v>
      </c>
      <c r="J14" s="26">
        <v>2010</v>
      </c>
      <c r="K14" s="26">
        <v>2011</v>
      </c>
      <c r="L14" s="26">
        <v>2012</v>
      </c>
      <c r="M14" s="26">
        <v>2013</v>
      </c>
      <c r="N14" s="26">
        <v>2014</v>
      </c>
      <c r="O14" s="26">
        <v>2015</v>
      </c>
      <c r="P14" s="26">
        <v>2016</v>
      </c>
      <c r="Q14" s="26">
        <v>2017</v>
      </c>
      <c r="R14" s="26">
        <v>2018</v>
      </c>
      <c r="S14" s="26">
        <v>2019</v>
      </c>
      <c r="T14" s="26">
        <v>2020</v>
      </c>
      <c r="U14" s="26">
        <v>2021</v>
      </c>
      <c r="V14" s="26">
        <v>2022</v>
      </c>
      <c r="W14" s="26">
        <v>2023</v>
      </c>
    </row>
    <row r="15" spans="1:24" s="26" customFormat="1" x14ac:dyDescent="0.3">
      <c r="A15" s="26" t="s">
        <v>222</v>
      </c>
      <c r="C15">
        <f>C2+C5</f>
        <v>3416845</v>
      </c>
      <c r="D15">
        <f t="shared" ref="D15:W15" si="2">D2+D5</f>
        <v>3446922</v>
      </c>
      <c r="E15">
        <f t="shared" si="2"/>
        <v>3488326</v>
      </c>
      <c r="F15">
        <f t="shared" si="2"/>
        <v>3552305</v>
      </c>
      <c r="G15">
        <f t="shared" si="2"/>
        <v>3632158</v>
      </c>
      <c r="H15">
        <f t="shared" si="2"/>
        <v>3664695</v>
      </c>
      <c r="I15">
        <f t="shared" si="2"/>
        <v>3650975</v>
      </c>
      <c r="J15">
        <f t="shared" si="2"/>
        <v>3702275</v>
      </c>
      <c r="K15">
        <f t="shared" si="2"/>
        <v>3724412</v>
      </c>
      <c r="L15">
        <f t="shared" si="2"/>
        <v>3717226</v>
      </c>
      <c r="M15">
        <f t="shared" si="2"/>
        <v>3704916</v>
      </c>
      <c r="N15">
        <f t="shared" si="2"/>
        <v>3726937</v>
      </c>
      <c r="O15">
        <f t="shared" si="2"/>
        <v>3752674</v>
      </c>
      <c r="P15">
        <f t="shared" si="2"/>
        <v>3801359</v>
      </c>
      <c r="Q15">
        <f t="shared" si="2"/>
        <v>3858071</v>
      </c>
      <c r="R15">
        <f t="shared" si="2"/>
        <v>3914029</v>
      </c>
      <c r="S15">
        <f t="shared" si="2"/>
        <v>3966918</v>
      </c>
      <c r="T15">
        <f t="shared" si="2"/>
        <v>3946692</v>
      </c>
      <c r="U15">
        <f t="shared" si="2"/>
        <v>4019084</v>
      </c>
      <c r="V15">
        <f t="shared" si="2"/>
        <v>4069839</v>
      </c>
      <c r="W15">
        <f t="shared" si="2"/>
        <v>3992877</v>
      </c>
    </row>
    <row r="16" spans="1:24" s="26" customFormat="1" x14ac:dyDescent="0.3">
      <c r="A16" s="26" t="s">
        <v>223</v>
      </c>
      <c r="C16">
        <f>C2+C5+C6+C7</f>
        <v>3431288</v>
      </c>
      <c r="D16">
        <f t="shared" ref="D16:W16" si="3">D2+D5+D6+D7</f>
        <v>3460962</v>
      </c>
      <c r="E16">
        <f t="shared" si="3"/>
        <v>3501575</v>
      </c>
      <c r="F16">
        <f t="shared" si="3"/>
        <v>3566422</v>
      </c>
      <c r="G16">
        <f t="shared" si="3"/>
        <v>3646646</v>
      </c>
      <c r="H16">
        <f t="shared" si="3"/>
        <v>3679558</v>
      </c>
      <c r="I16">
        <f t="shared" si="3"/>
        <v>3665867</v>
      </c>
      <c r="J16">
        <f t="shared" si="3"/>
        <v>3717768</v>
      </c>
      <c r="K16">
        <f t="shared" si="3"/>
        <v>3740447</v>
      </c>
      <c r="L16">
        <f t="shared" si="3"/>
        <v>3733131</v>
      </c>
      <c r="M16">
        <f t="shared" si="3"/>
        <v>3721153</v>
      </c>
      <c r="N16">
        <f t="shared" si="3"/>
        <v>3743258</v>
      </c>
      <c r="O16">
        <f t="shared" si="3"/>
        <v>3769678</v>
      </c>
      <c r="P16">
        <f t="shared" si="3"/>
        <v>3818849</v>
      </c>
      <c r="Q16">
        <f t="shared" si="3"/>
        <v>3876357</v>
      </c>
      <c r="R16">
        <f t="shared" si="3"/>
        <v>3933049</v>
      </c>
      <c r="S16">
        <f t="shared" si="3"/>
        <v>3986725</v>
      </c>
      <c r="T16">
        <f t="shared" si="3"/>
        <v>3966758</v>
      </c>
      <c r="U16">
        <f t="shared" si="3"/>
        <v>4040443</v>
      </c>
      <c r="V16">
        <f t="shared" si="3"/>
        <v>4092156</v>
      </c>
      <c r="W16">
        <f t="shared" si="3"/>
        <v>4015175</v>
      </c>
    </row>
    <row r="17" spans="1:23" s="26" customFormat="1" x14ac:dyDescent="0.3">
      <c r="A17" s="26" t="s">
        <v>224</v>
      </c>
      <c r="C17">
        <f>C3+C4+C6+C7</f>
        <v>719122</v>
      </c>
      <c r="D17">
        <f t="shared" ref="D17:W17" si="4">D3+D4+D6+D7</f>
        <v>717465</v>
      </c>
      <c r="E17">
        <f t="shared" si="4"/>
        <v>719042</v>
      </c>
      <c r="F17">
        <f t="shared" si="4"/>
        <v>725720</v>
      </c>
      <c r="G17">
        <f t="shared" si="4"/>
        <v>739033</v>
      </c>
      <c r="H17">
        <f t="shared" si="4"/>
        <v>750095</v>
      </c>
      <c r="I17">
        <f t="shared" si="4"/>
        <v>755876</v>
      </c>
      <c r="J17">
        <f t="shared" si="4"/>
        <v>765986</v>
      </c>
      <c r="K17">
        <f t="shared" si="4"/>
        <v>776292</v>
      </c>
      <c r="L17">
        <f t="shared" si="4"/>
        <v>788233</v>
      </c>
      <c r="M17">
        <f t="shared" si="4"/>
        <v>795921</v>
      </c>
      <c r="N17">
        <f t="shared" si="4"/>
        <v>805537</v>
      </c>
      <c r="O17">
        <f t="shared" si="4"/>
        <v>821343</v>
      </c>
      <c r="P17">
        <f t="shared" si="4"/>
        <v>836088</v>
      </c>
      <c r="Q17">
        <f t="shared" si="4"/>
        <v>854642</v>
      </c>
      <c r="R17">
        <f t="shared" si="4"/>
        <v>869922</v>
      </c>
      <c r="S17">
        <f t="shared" si="4"/>
        <v>890004</v>
      </c>
      <c r="T17">
        <f t="shared" si="4"/>
        <v>916316</v>
      </c>
      <c r="U17">
        <f t="shared" si="4"/>
        <v>945661</v>
      </c>
      <c r="V17">
        <f t="shared" si="4"/>
        <v>960661</v>
      </c>
      <c r="W17">
        <f t="shared" si="4"/>
        <v>945199</v>
      </c>
    </row>
    <row r="18" spans="1:23" s="26" customFormat="1" x14ac:dyDescent="0.3">
      <c r="A18" s="26" t="s">
        <v>225</v>
      </c>
      <c r="C18">
        <f>C3+C4+C5+C6+C7</f>
        <v>853157</v>
      </c>
      <c r="D18">
        <f t="shared" ref="D18:W18" si="5">D3+D4+D5+D6+D7</f>
        <v>856519</v>
      </c>
      <c r="E18">
        <f t="shared" si="5"/>
        <v>863572</v>
      </c>
      <c r="F18">
        <f t="shared" si="5"/>
        <v>877436</v>
      </c>
      <c r="G18">
        <f t="shared" si="5"/>
        <v>901280</v>
      </c>
      <c r="H18">
        <f t="shared" si="5"/>
        <v>920415</v>
      </c>
      <c r="I18">
        <f t="shared" si="5"/>
        <v>930560</v>
      </c>
      <c r="J18">
        <f t="shared" si="5"/>
        <v>948805</v>
      </c>
      <c r="K18">
        <f t="shared" si="5"/>
        <v>965752</v>
      </c>
      <c r="L18">
        <f t="shared" si="5"/>
        <v>984354</v>
      </c>
      <c r="M18">
        <f t="shared" si="5"/>
        <v>996415</v>
      </c>
      <c r="N18">
        <f t="shared" si="5"/>
        <v>1010704</v>
      </c>
      <c r="O18">
        <f t="shared" si="5"/>
        <v>1030641</v>
      </c>
      <c r="P18">
        <f t="shared" si="5"/>
        <v>1052469</v>
      </c>
      <c r="Q18">
        <f t="shared" si="5"/>
        <v>1081567</v>
      </c>
      <c r="R18">
        <f t="shared" si="5"/>
        <v>1106330</v>
      </c>
      <c r="S18">
        <f t="shared" si="5"/>
        <v>1137274</v>
      </c>
      <c r="T18">
        <f t="shared" si="5"/>
        <v>1177227</v>
      </c>
      <c r="U18">
        <f t="shared" si="5"/>
        <v>1223537</v>
      </c>
      <c r="V18">
        <f t="shared" si="5"/>
        <v>1249134</v>
      </c>
      <c r="W18">
        <f t="shared" si="5"/>
        <v>1241323</v>
      </c>
    </row>
    <row r="19" spans="1:23" x14ac:dyDescent="0.3">
      <c r="A19" s="26" t="s">
        <v>220</v>
      </c>
      <c r="C19" s="2">
        <f>C9/C$8</f>
        <v>0.17387034277594574</v>
      </c>
      <c r="D19" s="2">
        <f t="shared" ref="D19:W20" si="6">D9/D$8</f>
        <v>0.17228586104029237</v>
      </c>
      <c r="E19" s="2">
        <f t="shared" si="6"/>
        <v>0.17090066759075984</v>
      </c>
      <c r="F19" s="2">
        <f t="shared" si="6"/>
        <v>0.1696390273549126</v>
      </c>
      <c r="G19" s="2">
        <f t="shared" si="6"/>
        <v>0.16906902489504577</v>
      </c>
      <c r="H19" s="2">
        <f t="shared" si="6"/>
        <v>0.16990502379501629</v>
      </c>
      <c r="I19" s="2">
        <f t="shared" si="6"/>
        <v>0.17152293099993624</v>
      </c>
      <c r="J19" s="2">
        <f t="shared" si="6"/>
        <v>0.1714282133474298</v>
      </c>
      <c r="K19" s="2">
        <f t="shared" si="6"/>
        <v>0.17248234942800059</v>
      </c>
      <c r="L19" s="2">
        <f t="shared" si="6"/>
        <v>0.17495065430625381</v>
      </c>
      <c r="M19" s="2">
        <f t="shared" si="6"/>
        <v>0.17683844138323604</v>
      </c>
      <c r="N19" s="2">
        <f t="shared" si="6"/>
        <v>0.17772567476393686</v>
      </c>
      <c r="O19" s="2">
        <f t="shared" si="6"/>
        <v>0.17956710698714062</v>
      </c>
      <c r="P19" s="2">
        <f t="shared" si="6"/>
        <v>0.18029057798396403</v>
      </c>
      <c r="Q19" s="2">
        <f t="shared" si="6"/>
        <v>0.18134819582690481</v>
      </c>
      <c r="R19" s="2">
        <f t="shared" si="6"/>
        <v>0.18184174545266035</v>
      </c>
      <c r="S19" s="2">
        <f t="shared" si="6"/>
        <v>0.18324444987998573</v>
      </c>
      <c r="T19" s="2">
        <f t="shared" si="6"/>
        <v>0.18842576446512119</v>
      </c>
      <c r="U19" s="2">
        <f t="shared" si="6"/>
        <v>0.1904752409237534</v>
      </c>
      <c r="V19" s="2">
        <f t="shared" si="6"/>
        <v>0.19096729947321339</v>
      </c>
      <c r="W19" s="2">
        <f t="shared" si="6"/>
        <v>0.19141037926512269</v>
      </c>
    </row>
    <row r="20" spans="1:23" x14ac:dyDescent="0.3">
      <c r="A20" s="26" t="s">
        <v>221</v>
      </c>
      <c r="C20" s="2">
        <f>C10/C$8</f>
        <v>0.82612965722405429</v>
      </c>
      <c r="D20" s="2">
        <f t="shared" si="6"/>
        <v>0.82771413895970769</v>
      </c>
      <c r="E20" s="2">
        <f t="shared" si="6"/>
        <v>0.82909933240924016</v>
      </c>
      <c r="F20" s="2">
        <f t="shared" si="6"/>
        <v>0.83036097264508735</v>
      </c>
      <c r="G20" s="2">
        <f t="shared" si="6"/>
        <v>0.83093097510495428</v>
      </c>
      <c r="H20" s="2">
        <f t="shared" si="6"/>
        <v>0.83009497620498374</v>
      </c>
      <c r="I20" s="2">
        <f t="shared" si="6"/>
        <v>0.82847706900006379</v>
      </c>
      <c r="J20" s="2">
        <f t="shared" si="6"/>
        <v>0.82857178665257025</v>
      </c>
      <c r="K20" s="2">
        <f t="shared" si="6"/>
        <v>0.82751765057199944</v>
      </c>
      <c r="L20" s="2">
        <f t="shared" si="6"/>
        <v>0.82504934569374622</v>
      </c>
      <c r="M20" s="2">
        <f t="shared" si="6"/>
        <v>0.82316155861676399</v>
      </c>
      <c r="N20" s="2">
        <f t="shared" si="6"/>
        <v>0.82227432523606314</v>
      </c>
      <c r="O20" s="2">
        <f t="shared" si="6"/>
        <v>0.82043289301285938</v>
      </c>
      <c r="P20" s="2">
        <f t="shared" si="6"/>
        <v>0.81970942201603603</v>
      </c>
      <c r="Q20" s="2">
        <f t="shared" si="6"/>
        <v>0.81865180417309524</v>
      </c>
      <c r="R20" s="2">
        <f t="shared" si="6"/>
        <v>0.81815825454733959</v>
      </c>
      <c r="S20" s="2">
        <f t="shared" si="6"/>
        <v>0.81675555012001433</v>
      </c>
      <c r="T20" s="2">
        <f t="shared" si="6"/>
        <v>0.81157423553487884</v>
      </c>
      <c r="U20" s="2">
        <f t="shared" si="6"/>
        <v>0.80952475907624666</v>
      </c>
      <c r="V20" s="2">
        <f t="shared" si="6"/>
        <v>0.80903270052678655</v>
      </c>
      <c r="W20" s="2">
        <f t="shared" si="6"/>
        <v>0.80858962073487728</v>
      </c>
    </row>
    <row r="21" spans="1:23" x14ac:dyDescent="0.3">
      <c r="A21" s="105" t="s">
        <v>72</v>
      </c>
      <c r="B21" s="105"/>
      <c r="C21">
        <f>100</f>
        <v>100</v>
      </c>
      <c r="D21" s="20">
        <f t="shared" ref="D21:W21" si="7">(D9/C9)*C21</f>
        <v>99.769580126876946</v>
      </c>
      <c r="E21" s="20">
        <f t="shared" si="7"/>
        <v>99.988875322963295</v>
      </c>
      <c r="F21" s="20">
        <f t="shared" si="7"/>
        <v>100.91750773860348</v>
      </c>
      <c r="G21" s="20">
        <f t="shared" si="7"/>
        <v>102.7687930559766</v>
      </c>
      <c r="H21" s="20">
        <f t="shared" si="7"/>
        <v>104.30705777322903</v>
      </c>
      <c r="I21" s="20">
        <f t="shared" si="7"/>
        <v>105.110954747595</v>
      </c>
      <c r="J21" s="20">
        <f t="shared" si="7"/>
        <v>106.51683580811046</v>
      </c>
      <c r="K21" s="20">
        <f t="shared" si="7"/>
        <v>107.9499723273659</v>
      </c>
      <c r="L21" s="20">
        <f t="shared" si="7"/>
        <v>109.61046943355927</v>
      </c>
      <c r="M21" s="20">
        <f t="shared" si="7"/>
        <v>110.67955089678804</v>
      </c>
      <c r="N21" s="20">
        <f t="shared" si="7"/>
        <v>112.01673707660177</v>
      </c>
      <c r="O21" s="20">
        <f t="shared" si="7"/>
        <v>114.21469514213169</v>
      </c>
      <c r="P21" s="20">
        <f t="shared" si="7"/>
        <v>116.26511217846212</v>
      </c>
      <c r="Q21" s="20">
        <f t="shared" si="7"/>
        <v>118.84520290020335</v>
      </c>
      <c r="R21" s="20">
        <f t="shared" si="7"/>
        <v>120.97001621421683</v>
      </c>
      <c r="S21" s="20">
        <f t="shared" si="7"/>
        <v>123.7625882673594</v>
      </c>
      <c r="T21" s="20">
        <f t="shared" si="7"/>
        <v>127.42149454473653</v>
      </c>
      <c r="U21" s="20">
        <f t="shared" si="7"/>
        <v>131.50216514026832</v>
      </c>
      <c r="V21" s="20">
        <f t="shared" si="7"/>
        <v>133.5880420846533</v>
      </c>
      <c r="W21" s="20">
        <f t="shared" si="7"/>
        <v>131.43792013038129</v>
      </c>
    </row>
    <row r="22" spans="1:23" x14ac:dyDescent="0.3">
      <c r="A22" s="105" t="s">
        <v>73</v>
      </c>
      <c r="B22" s="105"/>
      <c r="C22">
        <f>100</f>
        <v>100</v>
      </c>
      <c r="D22" s="20">
        <f t="shared" ref="D22:W22" si="8">(D10/C10)*C22</f>
        <v>100.88025649392934</v>
      </c>
      <c r="E22" s="20">
        <f t="shared" si="8"/>
        <v>102.09201763615263</v>
      </c>
      <c r="F22" s="20">
        <f t="shared" si="8"/>
        <v>103.96447600052095</v>
      </c>
      <c r="G22" s="20">
        <f t="shared" si="8"/>
        <v>106.30151499409541</v>
      </c>
      <c r="H22" s="20">
        <f t="shared" si="8"/>
        <v>107.25376773017211</v>
      </c>
      <c r="I22" s="20">
        <f t="shared" si="8"/>
        <v>106.85222771299253</v>
      </c>
      <c r="J22" s="20">
        <f t="shared" si="8"/>
        <v>108.3536127626509</v>
      </c>
      <c r="K22" s="20">
        <f t="shared" si="8"/>
        <v>109.00149114168184</v>
      </c>
      <c r="L22" s="20">
        <f t="shared" si="8"/>
        <v>108.79118016766927</v>
      </c>
      <c r="M22" s="20">
        <f t="shared" si="8"/>
        <v>108.43090628928145</v>
      </c>
      <c r="N22" s="20">
        <f t="shared" si="8"/>
        <v>109.07538972356073</v>
      </c>
      <c r="O22" s="20">
        <f t="shared" si="8"/>
        <v>109.82862845695367</v>
      </c>
      <c r="P22" s="20">
        <f t="shared" si="8"/>
        <v>111.25348091587409</v>
      </c>
      <c r="Q22" s="20">
        <f t="shared" si="8"/>
        <v>112.91325769825667</v>
      </c>
      <c r="R22" s="20">
        <f t="shared" si="8"/>
        <v>114.55096733975343</v>
      </c>
      <c r="S22" s="20">
        <f t="shared" si="8"/>
        <v>116.09885727915659</v>
      </c>
      <c r="T22" s="20">
        <f t="shared" si="8"/>
        <v>115.50690768823279</v>
      </c>
      <c r="U22" s="20">
        <f t="shared" si="8"/>
        <v>117.62558734739204</v>
      </c>
      <c r="V22" s="20">
        <f t="shared" si="8"/>
        <v>119.11102201007063</v>
      </c>
      <c r="W22" s="20">
        <f t="shared" si="8"/>
        <v>116.85859323440185</v>
      </c>
    </row>
    <row r="24" spans="1:23" x14ac:dyDescent="0.3">
      <c r="A24" s="26" t="s">
        <v>253</v>
      </c>
      <c r="C24">
        <f>[3]Cijfers!E8+[3]Cijfers!E9</f>
        <v>856655</v>
      </c>
      <c r="D24">
        <f>[3]Cijfers!F8+[3]Cijfers!F9</f>
        <v>859717</v>
      </c>
      <c r="E24">
        <f>[3]Cijfers!G8+[3]Cijfers!G9</f>
        <v>867268</v>
      </c>
      <c r="F24">
        <f>[3]Cijfers!H8+[3]Cijfers!H9</f>
        <v>880622</v>
      </c>
      <c r="G24">
        <f>[3]Cijfers!I8+[3]Cijfers!I9</f>
        <v>904954</v>
      </c>
      <c r="H24">
        <f>[3]Cijfers!J8+[3]Cijfers!J9</f>
        <v>923946</v>
      </c>
      <c r="I24">
        <f>[3]Cijfers!K8+[3]Cijfers!K9</f>
        <v>934642</v>
      </c>
      <c r="J24">
        <f>[3]Cijfers!L8+[3]Cijfers!L9</f>
        <v>952585</v>
      </c>
      <c r="K24">
        <f>[3]Cijfers!M8+[3]Cijfers!M9</f>
        <v>969896</v>
      </c>
      <c r="L24">
        <f>[3]Cijfers!N8+[3]Cijfers!N9</f>
        <v>988567</v>
      </c>
      <c r="M24">
        <f>[3]Cijfers!O8+[3]Cijfers!O9</f>
        <v>1001101</v>
      </c>
      <c r="N24">
        <f>[3]Cijfers!P8+[3]Cijfers!P9</f>
        <v>1015902</v>
      </c>
      <c r="O24">
        <f>[3]Cijfers!Q8+[3]Cijfers!Q9</f>
        <v>1035469</v>
      </c>
      <c r="P24">
        <f>[3]Cijfers!R8+[3]Cijfers!R9</f>
        <v>1058522</v>
      </c>
      <c r="Q24">
        <f>[3]Cijfers!S8+[3]Cijfers!S9</f>
        <v>1087763</v>
      </c>
      <c r="R24">
        <f>[3]Cijfers!T8+[3]Cijfers!T9</f>
        <v>1112646</v>
      </c>
      <c r="S24">
        <f>[3]Cijfers!U8+[3]Cijfers!U9</f>
        <v>1145015</v>
      </c>
      <c r="T24">
        <f>[3]Cijfers!V8+[3]Cijfers!V9</f>
        <v>1182747</v>
      </c>
      <c r="U24">
        <f>[3]Cijfers!W8+[3]Cijfers!W9</f>
        <v>1230419</v>
      </c>
      <c r="V24">
        <f>[3]Cijfers!X8+[3]Cijfers!X9</f>
        <v>1257356</v>
      </c>
      <c r="W24">
        <f>[3]Cijfers!Y8+[3]Cijfers!Y9</f>
        <v>1279170</v>
      </c>
    </row>
  </sheetData>
  <mergeCells count="2">
    <mergeCell ref="A21:B21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Julie BS - Cijfers</vt:lpstr>
      <vt:lpstr>Julie NS - cijfers</vt:lpstr>
      <vt:lpstr>Julie - Figuren</vt:lpstr>
      <vt:lpstr>Julie BS - gezondheidsindex</vt:lpstr>
      <vt:lpstr>Bijdragen WN's &amp; WG's opgesplit</vt:lpstr>
      <vt:lpstr>Oplijsting (sub)categorieën KSZ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Wim Van Lancker</dc:creator>
  <cp:keywords/>
  <dc:description/>
  <cp:lastModifiedBy>Wim Van Lancker</cp:lastModifiedBy>
  <cp:revision/>
  <dcterms:created xsi:type="dcterms:W3CDTF">2025-07-08T10:11:43Z</dcterms:created>
  <dcterms:modified xsi:type="dcterms:W3CDTF">2026-09-16T07:12:58Z</dcterms:modified>
  <cp:category/>
  <cp:contentStatus/>
</cp:coreProperties>
</file>