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leuven-my.sharepoint.com/personal/julie_vinck_kuleuven_be/Documents/Gedeeld/UNIZO/Macro niveau/"/>
    </mc:Choice>
  </mc:AlternateContent>
  <xr:revisionPtr revIDLastSave="598" documentId="8_{8609BE41-DBEB-412B-9B7C-071AB20B793B}" xr6:coauthVersionLast="47" xr6:coauthVersionMax="47" xr10:uidLastSave="{CB933EE7-8B76-486C-AC30-0D8D1D39F96E}"/>
  <bookViews>
    <workbookView xWindow="-120" yWindow="-120" windowWidth="29040" windowHeight="15720" activeTab="1" xr2:uid="{8294B14D-A992-4D3D-8809-538DDD697265}"/>
  </bookViews>
  <sheets>
    <sheet name="Cijfers" sheetId="1" r:id="rId1"/>
    <sheet name="Figur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8" i="1" l="1"/>
  <c r="AB3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F61" i="1"/>
  <c r="D6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F100" i="1"/>
  <c r="G100" i="1" s="1"/>
  <c r="H100" i="1" s="1"/>
  <c r="I100" i="1" s="1"/>
  <c r="J100" i="1" s="1"/>
  <c r="K100" i="1" s="1"/>
  <c r="L100" i="1" s="1"/>
  <c r="M100" i="1" s="1"/>
  <c r="N100" i="1" s="1"/>
  <c r="O100" i="1" s="1"/>
  <c r="P100" i="1" s="1"/>
  <c r="Q100" i="1" s="1"/>
  <c r="R100" i="1" s="1"/>
  <c r="S100" i="1" s="1"/>
  <c r="T100" i="1" s="1"/>
  <c r="U100" i="1" s="1"/>
  <c r="V100" i="1" s="1"/>
  <c r="W100" i="1" s="1"/>
  <c r="X100" i="1" s="1"/>
  <c r="Y100" i="1" s="1"/>
  <c r="F99" i="1"/>
  <c r="G99" i="1" s="1"/>
  <c r="H99" i="1" s="1"/>
  <c r="I99" i="1" s="1"/>
  <c r="J99" i="1" s="1"/>
  <c r="K99" i="1" s="1"/>
  <c r="L99" i="1" s="1"/>
  <c r="M99" i="1" s="1"/>
  <c r="N99" i="1" s="1"/>
  <c r="O99" i="1" s="1"/>
  <c r="P99" i="1" s="1"/>
  <c r="Q99" i="1" s="1"/>
  <c r="R99" i="1" s="1"/>
  <c r="S99" i="1" s="1"/>
  <c r="T99" i="1" s="1"/>
  <c r="U99" i="1" s="1"/>
  <c r="V99" i="1" s="1"/>
  <c r="W99" i="1" s="1"/>
  <c r="X99" i="1" s="1"/>
  <c r="Y99" i="1" s="1"/>
  <c r="F98" i="1"/>
  <c r="G98" i="1" s="1"/>
  <c r="H98" i="1" s="1"/>
  <c r="I98" i="1" s="1"/>
  <c r="J98" i="1" s="1"/>
  <c r="K98" i="1" s="1"/>
  <c r="L98" i="1" s="1"/>
  <c r="M98" i="1" s="1"/>
  <c r="N98" i="1" s="1"/>
  <c r="O98" i="1" s="1"/>
  <c r="P98" i="1" s="1"/>
  <c r="Q98" i="1" s="1"/>
  <c r="R98" i="1" s="1"/>
  <c r="S98" i="1" s="1"/>
  <c r="T98" i="1" s="1"/>
  <c r="U98" i="1" s="1"/>
  <c r="V98" i="1" s="1"/>
  <c r="W98" i="1" s="1"/>
  <c r="X98" i="1" s="1"/>
  <c r="Y98" i="1" s="1"/>
  <c r="F97" i="1"/>
  <c r="G97" i="1" s="1"/>
  <c r="H97" i="1" s="1"/>
  <c r="I97" i="1" s="1"/>
  <c r="J97" i="1" s="1"/>
  <c r="K97" i="1" s="1"/>
  <c r="L97" i="1" s="1"/>
  <c r="M97" i="1" s="1"/>
  <c r="N97" i="1" s="1"/>
  <c r="O97" i="1" s="1"/>
  <c r="P97" i="1" s="1"/>
  <c r="Q97" i="1" s="1"/>
  <c r="R97" i="1" s="1"/>
  <c r="S97" i="1" s="1"/>
  <c r="T97" i="1" s="1"/>
  <c r="U97" i="1" s="1"/>
  <c r="V97" i="1" s="1"/>
  <c r="W97" i="1" s="1"/>
  <c r="X97" i="1" s="1"/>
  <c r="Y97" i="1" s="1"/>
  <c r="F96" i="1"/>
  <c r="G96" i="1" s="1"/>
  <c r="H96" i="1" s="1"/>
  <c r="I96" i="1" s="1"/>
  <c r="J96" i="1" s="1"/>
  <c r="K96" i="1" s="1"/>
  <c r="L96" i="1" s="1"/>
  <c r="M96" i="1" s="1"/>
  <c r="N96" i="1" s="1"/>
  <c r="O96" i="1" s="1"/>
  <c r="P96" i="1" s="1"/>
  <c r="Q96" i="1" s="1"/>
  <c r="R96" i="1" s="1"/>
  <c r="S96" i="1" s="1"/>
  <c r="T96" i="1" s="1"/>
  <c r="U96" i="1" s="1"/>
  <c r="V96" i="1" s="1"/>
  <c r="W96" i="1" s="1"/>
  <c r="X96" i="1" s="1"/>
  <c r="Y96" i="1" s="1"/>
  <c r="F95" i="1"/>
  <c r="G95" i="1" s="1"/>
  <c r="H95" i="1" s="1"/>
  <c r="I95" i="1" s="1"/>
  <c r="J95" i="1" s="1"/>
  <c r="K95" i="1" s="1"/>
  <c r="L95" i="1" s="1"/>
  <c r="M95" i="1" s="1"/>
  <c r="N95" i="1" s="1"/>
  <c r="O95" i="1" s="1"/>
  <c r="P95" i="1" s="1"/>
  <c r="Q95" i="1" s="1"/>
  <c r="R95" i="1" s="1"/>
  <c r="S95" i="1" s="1"/>
  <c r="T95" i="1" s="1"/>
  <c r="U95" i="1" s="1"/>
  <c r="V95" i="1" s="1"/>
  <c r="W95" i="1" s="1"/>
  <c r="X95" i="1" s="1"/>
  <c r="Y95" i="1" s="1"/>
  <c r="F94" i="1"/>
  <c r="G94" i="1" s="1"/>
  <c r="H94" i="1" s="1"/>
  <c r="I94" i="1" s="1"/>
  <c r="J94" i="1" s="1"/>
  <c r="K94" i="1" s="1"/>
  <c r="L94" i="1" s="1"/>
  <c r="M94" i="1" s="1"/>
  <c r="N94" i="1" s="1"/>
  <c r="O94" i="1" s="1"/>
  <c r="P94" i="1" s="1"/>
  <c r="Q94" i="1" s="1"/>
  <c r="R94" i="1" s="1"/>
  <c r="S94" i="1" s="1"/>
  <c r="T94" i="1" s="1"/>
  <c r="U94" i="1" s="1"/>
  <c r="V94" i="1" s="1"/>
  <c r="W94" i="1" s="1"/>
  <c r="X94" i="1" s="1"/>
  <c r="Y94" i="1" s="1"/>
  <c r="F93" i="1"/>
  <c r="G93" i="1" s="1"/>
  <c r="H93" i="1" s="1"/>
  <c r="I93" i="1" s="1"/>
  <c r="J93" i="1" s="1"/>
  <c r="K93" i="1" s="1"/>
  <c r="L93" i="1" s="1"/>
  <c r="M93" i="1" s="1"/>
  <c r="N93" i="1" s="1"/>
  <c r="O93" i="1" s="1"/>
  <c r="P93" i="1" s="1"/>
  <c r="Q93" i="1" s="1"/>
  <c r="R93" i="1" s="1"/>
  <c r="S93" i="1" s="1"/>
  <c r="T93" i="1" s="1"/>
  <c r="U93" i="1" s="1"/>
  <c r="V93" i="1" s="1"/>
  <c r="W93" i="1" s="1"/>
  <c r="X93" i="1" s="1"/>
  <c r="Y93" i="1" s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F78" i="1"/>
  <c r="G78" i="1" s="1"/>
  <c r="H78" i="1" s="1"/>
  <c r="I78" i="1" s="1"/>
  <c r="J78" i="1" s="1"/>
  <c r="K78" i="1" s="1"/>
  <c r="L78" i="1" s="1"/>
  <c r="M78" i="1" s="1"/>
  <c r="N78" i="1" s="1"/>
  <c r="O78" i="1" s="1"/>
  <c r="P78" i="1" s="1"/>
  <c r="Q78" i="1" s="1"/>
  <c r="R78" i="1" s="1"/>
  <c r="S78" i="1" s="1"/>
  <c r="T78" i="1" s="1"/>
  <c r="U78" i="1" s="1"/>
  <c r="V78" i="1" s="1"/>
  <c r="W78" i="1" s="1"/>
  <c r="X78" i="1" s="1"/>
  <c r="Y78" i="1" s="1"/>
  <c r="F77" i="1"/>
  <c r="G77" i="1" s="1"/>
  <c r="H77" i="1" s="1"/>
  <c r="I77" i="1" s="1"/>
  <c r="J77" i="1" s="1"/>
  <c r="K77" i="1" s="1"/>
  <c r="L77" i="1" s="1"/>
  <c r="M77" i="1" s="1"/>
  <c r="N77" i="1" s="1"/>
  <c r="O77" i="1" s="1"/>
  <c r="P77" i="1" s="1"/>
  <c r="Q77" i="1" s="1"/>
  <c r="R77" i="1" s="1"/>
  <c r="S77" i="1" s="1"/>
  <c r="T77" i="1" s="1"/>
  <c r="U77" i="1" s="1"/>
  <c r="V77" i="1" s="1"/>
  <c r="W77" i="1" s="1"/>
  <c r="X77" i="1" s="1"/>
  <c r="Y77" i="1" s="1"/>
  <c r="F76" i="1"/>
  <c r="G76" i="1" s="1"/>
  <c r="H76" i="1" s="1"/>
  <c r="I76" i="1" s="1"/>
  <c r="J76" i="1" s="1"/>
  <c r="K76" i="1" s="1"/>
  <c r="L76" i="1" s="1"/>
  <c r="M76" i="1" s="1"/>
  <c r="N76" i="1" s="1"/>
  <c r="O76" i="1" s="1"/>
  <c r="P76" i="1" s="1"/>
  <c r="Q76" i="1" s="1"/>
  <c r="R76" i="1" s="1"/>
  <c r="S76" i="1" s="1"/>
  <c r="T76" i="1" s="1"/>
  <c r="U76" i="1" s="1"/>
  <c r="V76" i="1" s="1"/>
  <c r="W76" i="1" s="1"/>
  <c r="X76" i="1" s="1"/>
  <c r="Y76" i="1" s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F67" i="1"/>
  <c r="G67" i="1" s="1"/>
  <c r="H67" i="1" s="1"/>
  <c r="I67" i="1" s="1"/>
  <c r="J67" i="1" s="1"/>
  <c r="K67" i="1" s="1"/>
  <c r="L67" i="1" s="1"/>
  <c r="M67" i="1" s="1"/>
  <c r="N67" i="1" s="1"/>
  <c r="O67" i="1" s="1"/>
  <c r="P67" i="1" s="1"/>
  <c r="Q67" i="1" s="1"/>
  <c r="R67" i="1" s="1"/>
  <c r="S67" i="1" s="1"/>
  <c r="T67" i="1" s="1"/>
  <c r="U67" i="1" s="1"/>
  <c r="V67" i="1" s="1"/>
  <c r="W67" i="1" s="1"/>
  <c r="X67" i="1" s="1"/>
  <c r="Y67" i="1" s="1"/>
  <c r="F66" i="1"/>
  <c r="G66" i="1" s="1"/>
  <c r="H66" i="1" s="1"/>
  <c r="I66" i="1" s="1"/>
  <c r="J66" i="1" s="1"/>
  <c r="K66" i="1" s="1"/>
  <c r="L66" i="1" s="1"/>
  <c r="M66" i="1" s="1"/>
  <c r="N66" i="1" s="1"/>
  <c r="O66" i="1" s="1"/>
  <c r="P66" i="1" s="1"/>
  <c r="Q66" i="1" s="1"/>
  <c r="R66" i="1" s="1"/>
  <c r="S66" i="1" s="1"/>
  <c r="T66" i="1" s="1"/>
  <c r="U66" i="1" s="1"/>
  <c r="V66" i="1" s="1"/>
  <c r="W66" i="1" s="1"/>
  <c r="X66" i="1" s="1"/>
  <c r="Y66" i="1" s="1"/>
  <c r="F60" i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X60" i="1" s="1"/>
  <c r="Y60" i="1" s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B47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B48" i="1"/>
  <c r="B49" i="1"/>
  <c r="B50" i="1"/>
  <c r="B51" i="1"/>
  <c r="B52" i="1"/>
  <c r="D38" i="1"/>
  <c r="E38" i="1"/>
  <c r="F38" i="1" s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D39" i="1"/>
  <c r="E39" i="1" s="1"/>
  <c r="F39" i="1" s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D40" i="1"/>
  <c r="E40" i="1" s="1"/>
  <c r="F40" i="1" s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D41" i="1"/>
  <c r="E41" i="1" s="1"/>
  <c r="F41" i="1" s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D44" i="1"/>
  <c r="E44" i="1" s="1"/>
  <c r="F44" i="1" s="1"/>
  <c r="G44" i="1" s="1"/>
  <c r="H44" i="1" s="1"/>
  <c r="I44" i="1" s="1"/>
  <c r="J44" i="1" s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C39" i="1"/>
  <c r="C40" i="1"/>
  <c r="C41" i="1"/>
  <c r="C42" i="1"/>
  <c r="D42" i="1" s="1"/>
  <c r="E42" i="1" s="1"/>
  <c r="F42" i="1" s="1"/>
  <c r="G42" i="1" s="1"/>
  <c r="H42" i="1" s="1"/>
  <c r="I42" i="1" s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C43" i="1"/>
  <c r="D43" i="1" s="1"/>
  <c r="E43" i="1" s="1"/>
  <c r="F43" i="1" s="1"/>
  <c r="G43" i="1" s="1"/>
  <c r="H43" i="1" s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C44" i="1"/>
  <c r="C45" i="1"/>
  <c r="D45" i="1" s="1"/>
  <c r="E45" i="1" s="1"/>
  <c r="F45" i="1" s="1"/>
  <c r="G45" i="1" s="1"/>
  <c r="H45" i="1" s="1"/>
  <c r="I45" i="1" s="1"/>
  <c r="J45" i="1" s="1"/>
  <c r="K45" i="1" s="1"/>
  <c r="L45" i="1" s="1"/>
  <c r="M45" i="1" s="1"/>
  <c r="N45" i="1" s="1"/>
  <c r="O45" i="1" s="1"/>
  <c r="P45" i="1" s="1"/>
  <c r="Q45" i="1" s="1"/>
  <c r="R45" i="1" s="1"/>
  <c r="S45" i="1" s="1"/>
  <c r="T45" i="1" s="1"/>
  <c r="U45" i="1" s="1"/>
  <c r="V45" i="1" s="1"/>
  <c r="W45" i="1" s="1"/>
  <c r="X45" i="1" s="1"/>
  <c r="Y45" i="1" s="1"/>
  <c r="Z45" i="1" s="1"/>
  <c r="C38" i="1"/>
  <c r="C21" i="1"/>
  <c r="C11" i="1"/>
  <c r="D21" i="1"/>
  <c r="E21" i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D22" i="1"/>
  <c r="E22" i="1" s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D23" i="1"/>
  <c r="E23" i="1" s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C22" i="1"/>
  <c r="C23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B27" i="1"/>
  <c r="B26" i="1"/>
  <c r="B25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B15" i="1"/>
  <c r="B14" i="1"/>
  <c r="C12" i="1"/>
  <c r="D12" i="1" s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D11" i="1"/>
  <c r="E11" i="1" s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C5" i="1"/>
  <c r="D5" i="1" s="1"/>
  <c r="E5" i="1" s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C6" i="1"/>
</calcChain>
</file>

<file path=xl/sharedStrings.xml><?xml version="1.0" encoding="utf-8"?>
<sst xmlns="http://schemas.openxmlformats.org/spreadsheetml/2006/main" count="596" uniqueCount="282">
  <si>
    <t>Evoluties</t>
  </si>
  <si>
    <t>Ondernemingsvorm</t>
  </si>
  <si>
    <t>Vennootschappen</t>
  </si>
  <si>
    <t>Procentueel</t>
  </si>
  <si>
    <t>Hoedanigheid</t>
  </si>
  <si>
    <t>Zelfstandigen</t>
  </si>
  <si>
    <t>Helpers</t>
  </si>
  <si>
    <t>Methode 1</t>
  </si>
  <si>
    <t>Methode 2</t>
  </si>
  <si>
    <t>Aandeel</t>
  </si>
  <si>
    <t>Aard van de bezigheid</t>
  </si>
  <si>
    <t>Hoofdberoep</t>
  </si>
  <si>
    <t>Bijberoep</t>
  </si>
  <si>
    <t>Actief na pensioen</t>
  </si>
  <si>
    <t>586394</t>
  </si>
  <si>
    <t>145594</t>
  </si>
  <si>
    <t>62905</t>
  </si>
  <si>
    <t>581517</t>
  </si>
  <si>
    <t>150399</t>
  </si>
  <si>
    <t>61558</t>
  </si>
  <si>
    <t>580317</t>
  </si>
  <si>
    <t>154023</t>
  </si>
  <si>
    <t>60917</t>
  </si>
  <si>
    <t>640047</t>
  </si>
  <si>
    <t>158094</t>
  </si>
  <si>
    <t>58514</t>
  </si>
  <si>
    <t>636594</t>
  </si>
  <si>
    <t>163772</t>
  </si>
  <si>
    <t>59351</t>
  </si>
  <si>
    <t>636620</t>
  </si>
  <si>
    <t>170357</t>
  </si>
  <si>
    <t>640732</t>
  </si>
  <si>
    <t>178926</t>
  </si>
  <si>
    <t>60964</t>
  </si>
  <si>
    <t>652000</t>
  </si>
  <si>
    <t>190268</t>
  </si>
  <si>
    <t>62686</t>
  </si>
  <si>
    <t>659907</t>
  </si>
  <si>
    <t>199650</t>
  </si>
  <si>
    <t>64389</t>
  </si>
  <si>
    <t>662039</t>
  </si>
  <si>
    <t>205862</t>
  </si>
  <si>
    <t>66741</t>
  </si>
  <si>
    <t>669726</t>
  </si>
  <si>
    <t>212665</t>
  </si>
  <si>
    <t>70194</t>
  </si>
  <si>
    <t>676150</t>
  </si>
  <si>
    <t>219369</t>
  </si>
  <si>
    <t>74377</t>
  </si>
  <si>
    <t>683519</t>
  </si>
  <si>
    <t>226153</t>
  </si>
  <si>
    <t>78895</t>
  </si>
  <si>
    <t>685495</t>
  </si>
  <si>
    <t>230970</t>
  </si>
  <si>
    <t>84636</t>
  </si>
  <si>
    <t>692035</t>
  </si>
  <si>
    <t>234001</t>
  </si>
  <si>
    <t>89866</t>
  </si>
  <si>
    <t>704373</t>
  </si>
  <si>
    <t>237513</t>
  </si>
  <si>
    <t>93583</t>
  </si>
  <si>
    <t>714412</t>
  </si>
  <si>
    <t>245035</t>
  </si>
  <si>
    <t>99075</t>
  </si>
  <si>
    <t>722941</t>
  </si>
  <si>
    <t>259173</t>
  </si>
  <si>
    <t>105649</t>
  </si>
  <si>
    <t>734170</t>
  </si>
  <si>
    <t>268997</t>
  </si>
  <si>
    <t>109479</t>
  </si>
  <si>
    <t>747589</t>
  </si>
  <si>
    <t>281210</t>
  </si>
  <si>
    <t>116216</t>
  </si>
  <si>
    <t>766359</t>
  </si>
  <si>
    <t>293567</t>
  </si>
  <si>
    <t>122821</t>
  </si>
  <si>
    <t>786772</t>
  </si>
  <si>
    <t>313530</t>
  </si>
  <si>
    <t>130117</t>
  </si>
  <si>
    <t>795282</t>
  </si>
  <si>
    <t>323494</t>
  </si>
  <si>
    <t>138580</t>
  </si>
  <si>
    <t>798724</t>
  </si>
  <si>
    <t>332676</t>
  </si>
  <si>
    <t>147770</t>
  </si>
  <si>
    <t>801544</t>
  </si>
  <si>
    <t>341591</t>
  </si>
  <si>
    <t>156690</t>
  </si>
  <si>
    <t>60291</t>
  </si>
  <si>
    <t>Landbouw</t>
  </si>
  <si>
    <t>Visserij</t>
  </si>
  <si>
    <t>982</t>
  </si>
  <si>
    <t>737</t>
  </si>
  <si>
    <t>701</t>
  </si>
  <si>
    <t>665</t>
  </si>
  <si>
    <t>647</t>
  </si>
  <si>
    <t>620</t>
  </si>
  <si>
    <t>593</t>
  </si>
  <si>
    <t>564</t>
  </si>
  <si>
    <t>583</t>
  </si>
  <si>
    <t>553</t>
  </si>
  <si>
    <t>569</t>
  </si>
  <si>
    <t>544</t>
  </si>
  <si>
    <t>527</t>
  </si>
  <si>
    <t>528</t>
  </si>
  <si>
    <t>512</t>
  </si>
  <si>
    <t>496</t>
  </si>
  <si>
    <t>Nijverheid</t>
  </si>
  <si>
    <t>Handel</t>
  </si>
  <si>
    <t>Vrije beroepen</t>
  </si>
  <si>
    <t>Diensten</t>
  </si>
  <si>
    <t>Diversen</t>
  </si>
  <si>
    <t>Totaal</t>
  </si>
  <si>
    <t>Bedrijfstak</t>
  </si>
  <si>
    <t>79528</t>
  </si>
  <si>
    <t>159732</t>
  </si>
  <si>
    <t>322411</t>
  </si>
  <si>
    <t>161116</t>
  </si>
  <si>
    <t>69159</t>
  </si>
  <si>
    <t>2329</t>
  </si>
  <si>
    <t>795257</t>
  </si>
  <si>
    <t>89679</t>
  </si>
  <si>
    <t>1658</t>
  </si>
  <si>
    <t>171573</t>
  </si>
  <si>
    <t>344758</t>
  </si>
  <si>
    <t>172661</t>
  </si>
  <si>
    <t>73860</t>
  </si>
  <si>
    <t>2466</t>
  </si>
  <si>
    <t>856655</t>
  </si>
  <si>
    <t>88269</t>
  </si>
  <si>
    <t>1524</t>
  </si>
  <si>
    <t>171809</t>
  </si>
  <si>
    <t>343123</t>
  </si>
  <si>
    <t>177892</t>
  </si>
  <si>
    <t>74365</t>
  </si>
  <si>
    <t>2735</t>
  </si>
  <si>
    <t>859717</t>
  </si>
  <si>
    <t>87237</t>
  </si>
  <si>
    <t>1355</t>
  </si>
  <si>
    <t>173807</t>
  </si>
  <si>
    <t>341602</t>
  </si>
  <si>
    <t>184422</t>
  </si>
  <si>
    <t>75748</t>
  </si>
  <si>
    <t>3097</t>
  </si>
  <si>
    <t>867268</t>
  </si>
  <si>
    <t>86575</t>
  </si>
  <si>
    <t>1230</t>
  </si>
  <si>
    <t>180310</t>
  </si>
  <si>
    <t>339292</t>
  </si>
  <si>
    <t>192329</t>
  </si>
  <si>
    <t>77387</t>
  </si>
  <si>
    <t>3499</t>
  </si>
  <si>
    <t>880622</t>
  </si>
  <si>
    <t>85697</t>
  </si>
  <si>
    <t>1141</t>
  </si>
  <si>
    <t>188398</t>
  </si>
  <si>
    <t>343045</t>
  </si>
  <si>
    <t>202675</t>
  </si>
  <si>
    <t>79986</t>
  </si>
  <si>
    <t>4012</t>
  </si>
  <si>
    <t>904954</t>
  </si>
  <si>
    <t>85451</t>
  </si>
  <si>
    <t>192416</t>
  </si>
  <si>
    <t>345014</t>
  </si>
  <si>
    <t>212906</t>
  </si>
  <si>
    <t>82808</t>
  </si>
  <si>
    <t>4614</t>
  </si>
  <si>
    <t>923946</t>
  </si>
  <si>
    <t>80931</t>
  </si>
  <si>
    <t>190051</t>
  </si>
  <si>
    <t>340175</t>
  </si>
  <si>
    <t>228142</t>
  </si>
  <si>
    <t>83964</t>
  </si>
  <si>
    <t>10678</t>
  </si>
  <si>
    <t>934642</t>
  </si>
  <si>
    <t>79902</t>
  </si>
  <si>
    <t>204173</t>
  </si>
  <si>
    <t>340650</t>
  </si>
  <si>
    <t>241195</t>
  </si>
  <si>
    <t>77393</t>
  </si>
  <si>
    <t>8607</t>
  </si>
  <si>
    <t>952585</t>
  </si>
  <si>
    <t>79403</t>
  </si>
  <si>
    <t>209403</t>
  </si>
  <si>
    <t>338175</t>
  </si>
  <si>
    <t>251464</t>
  </si>
  <si>
    <t>78201</t>
  </si>
  <si>
    <t>12603</t>
  </si>
  <si>
    <t>969896</t>
  </si>
  <si>
    <t>78730</t>
  </si>
  <si>
    <t>215155</t>
  </si>
  <si>
    <t>337360</t>
  </si>
  <si>
    <t>263749</t>
  </si>
  <si>
    <t>79118</t>
  </si>
  <si>
    <t>13835</t>
  </si>
  <si>
    <t>988567</t>
  </si>
  <si>
    <t>79078</t>
  </si>
  <si>
    <t>217748</t>
  </si>
  <si>
    <t>335507</t>
  </si>
  <si>
    <t>274420</t>
  </si>
  <si>
    <t>79890</t>
  </si>
  <si>
    <t>13865</t>
  </si>
  <si>
    <t>1001101</t>
  </si>
  <si>
    <t>80631</t>
  </si>
  <si>
    <t>221515</t>
  </si>
  <si>
    <t>333499</t>
  </si>
  <si>
    <t>286016</t>
  </si>
  <si>
    <t>79932</t>
  </si>
  <si>
    <t>13745</t>
  </si>
  <si>
    <t>1015902</t>
  </si>
  <si>
    <t>84215</t>
  </si>
  <si>
    <t>221564</t>
  </si>
  <si>
    <t>331231</t>
  </si>
  <si>
    <t>295179</t>
  </si>
  <si>
    <t>85113</t>
  </si>
  <si>
    <t>17584</t>
  </si>
  <si>
    <t>1035469</t>
  </si>
  <si>
    <t>88664</t>
  </si>
  <si>
    <t>234234</t>
  </si>
  <si>
    <t>329048</t>
  </si>
  <si>
    <t>314374</t>
  </si>
  <si>
    <t>80337</t>
  </si>
  <si>
    <t>11312</t>
  </si>
  <si>
    <t>1058522</t>
  </si>
  <si>
    <t>91749</t>
  </si>
  <si>
    <t>243308</t>
  </si>
  <si>
    <t>330042</t>
  </si>
  <si>
    <t>329264</t>
  </si>
  <si>
    <t>81256</t>
  </si>
  <si>
    <t>11575</t>
  </si>
  <si>
    <t>1087763</t>
  </si>
  <si>
    <t>96658</t>
  </si>
  <si>
    <t>251810</t>
  </si>
  <si>
    <t>327090</t>
  </si>
  <si>
    <t>341936</t>
  </si>
  <si>
    <t>81539</t>
  </si>
  <si>
    <t>13049</t>
  </si>
  <si>
    <t>1112646</t>
  </si>
  <si>
    <t>98404</t>
  </si>
  <si>
    <t>264190</t>
  </si>
  <si>
    <t>329866</t>
  </si>
  <si>
    <t>359458</t>
  </si>
  <si>
    <t>83818</t>
  </si>
  <si>
    <t>8726</t>
  </si>
  <si>
    <t>1145015</t>
  </si>
  <si>
    <t>101529</t>
  </si>
  <si>
    <t>276278</t>
  </si>
  <si>
    <t>333457</t>
  </si>
  <si>
    <t>374418</t>
  </si>
  <si>
    <t>85051</t>
  </si>
  <si>
    <t>11470</t>
  </si>
  <si>
    <t>1182747</t>
  </si>
  <si>
    <t>100448</t>
  </si>
  <si>
    <t>292125</t>
  </si>
  <si>
    <t>339468</t>
  </si>
  <si>
    <t>393878</t>
  </si>
  <si>
    <t>86797</t>
  </si>
  <si>
    <t>17176</t>
  </si>
  <si>
    <t>1230419</t>
  </si>
  <si>
    <t>99831</t>
  </si>
  <si>
    <t>301921</t>
  </si>
  <si>
    <t>338621</t>
  </si>
  <si>
    <t>411887</t>
  </si>
  <si>
    <t>87563</t>
  </si>
  <si>
    <t>17005</t>
  </si>
  <si>
    <t>1257356</t>
  </si>
  <si>
    <t>99254</t>
  </si>
  <si>
    <t>306883</t>
  </si>
  <si>
    <t>336638</t>
  </si>
  <si>
    <t>428125</t>
  </si>
  <si>
    <t>87616</t>
  </si>
  <si>
    <t>20142</t>
  </si>
  <si>
    <t>1279170</t>
  </si>
  <si>
    <t>98415</t>
  </si>
  <si>
    <t>309804</t>
  </si>
  <si>
    <t>336439</t>
  </si>
  <si>
    <t>443490</t>
  </si>
  <si>
    <t>88338</t>
  </si>
  <si>
    <t>22843</t>
  </si>
  <si>
    <t>1299825</t>
  </si>
  <si>
    <t>Bron: https://websta.rsvz-inasti.fgov.be/nl</t>
  </si>
  <si>
    <t>Landbouw en visserij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</si>
</sst>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i/>
      <sz val="11"/>
      <color theme="1"/>
      <name val="Aptos Narrow"/>
      <family val="2"/>
      <scheme val="minor"/>
    </font>
    <font>
      <sz val="10"/>
      <color rgb="FF444444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wrapText="1"/>
    </xf>
    <xf numFmtId="2" fontId="0" fillId="0" borderId="0" xfId="0" applyNumberFormat="1"/>
    <xf numFmtId="0" fontId="4" fillId="0" borderId="0" xfId="0" applyFont="1"/>
    <xf numFmtId="10" fontId="0" fillId="0" borderId="0" xfId="0" applyNumberFormat="1"/>
    <xf numFmtId="10" fontId="0" fillId="0" borderId="0" xfId="1" applyNumberFormat="1" applyFont="1"/>
    <xf numFmtId="2" fontId="3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 wrapText="1"/>
    </xf>
    <xf numFmtId="49" fontId="5" fillId="0" borderId="0" xfId="0" applyNumberFormat="1" applyFont="1" applyAlignment="1">
      <alignment horizontal="left" wrapText="1"/>
    </xf>
    <xf numFmtId="2" fontId="3" fillId="0" borderId="0" xfId="0" applyNumberFormat="1" applyFont="1" applyAlignment="1">
      <alignment horizontal="right" wrapText="1"/>
    </xf>
    <xf numFmtId="2" fontId="5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right" wrapText="1"/>
    </xf>
    <xf numFmtId="49" fontId="6" fillId="0" borderId="0" xfId="0" applyNumberFormat="1" applyFont="1" applyAlignment="1">
      <alignment horizontal="left" wrapText="1"/>
    </xf>
    <xf numFmtId="3" fontId="0" fillId="0" borderId="0" xfId="0" applyNumberFormat="1"/>
    <xf numFmtId="9" fontId="0" fillId="0" borderId="0" xfId="1" applyFont="1"/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Ondernemingsvorm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Vennootschappen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Cijfers!$B$1:$Z$1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Cijfers!$B$5:$Z$5</c:f>
              <c:numCache>
                <c:formatCode>0.00</c:formatCode>
                <c:ptCount val="25"/>
                <c:pt idx="0" formatCode="General">
                  <c:v>100</c:v>
                </c:pt>
                <c:pt idx="1">
                  <c:v>103.53836464441768</c:v>
                </c:pt>
                <c:pt idx="2">
                  <c:v>110.5113219184117</c:v>
                </c:pt>
                <c:pt idx="3">
                  <c:v>111.08304698131124</c:v>
                </c:pt>
                <c:pt idx="4">
                  <c:v>113.86531175658608</c:v>
                </c:pt>
                <c:pt idx="5">
                  <c:v>115.83077982384863</c:v>
                </c:pt>
                <c:pt idx="6">
                  <c:v>121.84466177828683</c:v>
                </c:pt>
                <c:pt idx="7">
                  <c:v>126.5695517244755</c:v>
                </c:pt>
                <c:pt idx="8">
                  <c:v>134.92613586302093</c:v>
                </c:pt>
                <c:pt idx="9">
                  <c:v>140.08765145656096</c:v>
                </c:pt>
                <c:pt idx="10">
                  <c:v>145.52262915210432</c:v>
                </c:pt>
                <c:pt idx="11">
                  <c:v>151.56685952597726</c:v>
                </c:pt>
                <c:pt idx="12">
                  <c:v>155.81433293847755</c:v>
                </c:pt>
                <c:pt idx="13">
                  <c:v>158.01769345485752</c:v>
                </c:pt>
                <c:pt idx="14">
                  <c:v>158.69939074732164</c:v>
                </c:pt>
                <c:pt idx="15">
                  <c:v>163.40568004934065</c:v>
                </c:pt>
                <c:pt idx="16">
                  <c:v>168.63735596738033</c:v>
                </c:pt>
                <c:pt idx="17">
                  <c:v>174.22701270391363</c:v>
                </c:pt>
                <c:pt idx="18">
                  <c:v>179.86463952277924</c:v>
                </c:pt>
                <c:pt idx="19">
                  <c:v>184.62999402821421</c:v>
                </c:pt>
                <c:pt idx="20">
                  <c:v>195.06887133249137</c:v>
                </c:pt>
                <c:pt idx="21">
                  <c:v>204.62568651061702</c:v>
                </c:pt>
                <c:pt idx="22">
                  <c:v>213.77948773173298</c:v>
                </c:pt>
                <c:pt idx="23">
                  <c:v>222.86051801162372</c:v>
                </c:pt>
                <c:pt idx="24">
                  <c:v>230.73707499975524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76-4380-8436-1800357F6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598079"/>
        <c:axId val="210601919"/>
      </c:lineChart>
      <c:catAx>
        <c:axId val="21059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210601919"/>
        <c:crosses val="autoZero"/>
        <c:auto val="1"/>
        <c:lblAlgn val="ctr"/>
        <c:lblOffset val="100"/>
        <c:noMultiLvlLbl val="0"/>
      </c:catAx>
      <c:valAx>
        <c:axId val="21060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Procentuele groei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21059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nl-BE"/>
              <a:t>Hoedanigheid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v>Zelfstandigen</c:v>
          </c:tx>
          <c:spPr>
            <a:solidFill>
              <a:schemeClr val="tx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Cijfers!$B$1:$Z$1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Cijfers!$B$14:$Z$14</c:f>
              <c:numCache>
                <c:formatCode>0.00%</c:formatCode>
                <c:ptCount val="25"/>
                <c:pt idx="0">
                  <c:v>0.94210256842486628</c:v>
                </c:pt>
                <c:pt idx="1">
                  <c:v>0.94288836153606703</c:v>
                </c:pt>
                <c:pt idx="2">
                  <c:v>0.94456006045844298</c:v>
                </c:pt>
                <c:pt idx="3">
                  <c:v>0.87996451313539292</c:v>
                </c:pt>
                <c:pt idx="4">
                  <c:v>0.88557513693459589</c:v>
                </c:pt>
                <c:pt idx="5">
                  <c:v>0.89307572745679531</c:v>
                </c:pt>
                <c:pt idx="6">
                  <c:v>0.89855579351867199</c:v>
                </c:pt>
                <c:pt idx="7">
                  <c:v>0.90335088855345136</c:v>
                </c:pt>
                <c:pt idx="8">
                  <c:v>0.90837343307942242</c:v>
                </c:pt>
                <c:pt idx="9">
                  <c:v>0.91790118569462964</c:v>
                </c:pt>
                <c:pt idx="10">
                  <c:v>0.92155975582231509</c:v>
                </c:pt>
                <c:pt idx="11">
                  <c:v>0.92475585011176453</c:v>
                </c:pt>
                <c:pt idx="12">
                  <c:v>0.92826586361875318</c:v>
                </c:pt>
                <c:pt idx="13">
                  <c:v>0.93082116589634811</c:v>
                </c:pt>
                <c:pt idx="14">
                  <c:v>0.93294628812621694</c:v>
                </c:pt>
                <c:pt idx="15">
                  <c:v>0.93495990705660914</c:v>
                </c:pt>
                <c:pt idx="16">
                  <c:v>0.93763285033282251</c:v>
                </c:pt>
                <c:pt idx="17">
                  <c:v>0.94036568627541106</c:v>
                </c:pt>
                <c:pt idx="18">
                  <c:v>0.94294052196296041</c:v>
                </c:pt>
                <c:pt idx="19">
                  <c:v>0.94599372060628029</c:v>
                </c:pt>
                <c:pt idx="20">
                  <c:v>0.9491598795008569</c:v>
                </c:pt>
                <c:pt idx="21">
                  <c:v>0.95229998886558154</c:v>
                </c:pt>
                <c:pt idx="22">
                  <c:v>0.95496343120007376</c:v>
                </c:pt>
                <c:pt idx="23">
                  <c:v>0.95829170477731651</c:v>
                </c:pt>
                <c:pt idx="24">
                  <c:v>0.96148327659492627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A-4805-9AC8-5DE60DF71834}"/>
            </c:ext>
          </c:extLst>
        </c:ser>
        <c:ser>
          <c:idx val="1"/>
          <c:order val="1"/>
          <c:tx>
            <c:v>Help(st)ers</c:v>
          </c:tx>
          <c:spPr>
            <a:solidFill>
              <a:schemeClr val="bg1">
                <a:lumMod val="6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Cijfers!$B$1:$Z$1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Cijfers!$B$15:$Z$15</c:f>
              <c:numCache>
                <c:formatCode>0.00%</c:formatCode>
                <c:ptCount val="25"/>
                <c:pt idx="0">
                  <c:v>5.789743157513369E-2</c:v>
                </c:pt>
                <c:pt idx="1">
                  <c:v>5.7111638463932975E-2</c:v>
                </c:pt>
                <c:pt idx="2">
                  <c:v>5.5439939541557008E-2</c:v>
                </c:pt>
                <c:pt idx="3">
                  <c:v>0.1200354868646071</c:v>
                </c:pt>
                <c:pt idx="4">
                  <c:v>0.11442486306540409</c:v>
                </c:pt>
                <c:pt idx="5">
                  <c:v>0.10692427254320463</c:v>
                </c:pt>
                <c:pt idx="6">
                  <c:v>0.10144420648132797</c:v>
                </c:pt>
                <c:pt idx="7">
                  <c:v>9.6649111446548669E-2</c:v>
                </c:pt>
                <c:pt idx="8">
                  <c:v>9.1626566920577607E-2</c:v>
                </c:pt>
                <c:pt idx="9">
                  <c:v>8.2098814305370402E-2</c:v>
                </c:pt>
                <c:pt idx="10">
                  <c:v>7.8440244177684929E-2</c:v>
                </c:pt>
                <c:pt idx="11">
                  <c:v>7.524414988823544E-2</c:v>
                </c:pt>
                <c:pt idx="12">
                  <c:v>7.1734136381246788E-2</c:v>
                </c:pt>
                <c:pt idx="13">
                  <c:v>6.9178834103651873E-2</c:v>
                </c:pt>
                <c:pt idx="14">
                  <c:v>6.7053711873783103E-2</c:v>
                </c:pt>
                <c:pt idx="15">
                  <c:v>6.5040092943390873E-2</c:v>
                </c:pt>
                <c:pt idx="16">
                  <c:v>6.2367149667177442E-2</c:v>
                </c:pt>
                <c:pt idx="17">
                  <c:v>5.9634313724588904E-2</c:v>
                </c:pt>
                <c:pt idx="18">
                  <c:v>5.7059478037039632E-2</c:v>
                </c:pt>
                <c:pt idx="19">
                  <c:v>5.4006279393719735E-2</c:v>
                </c:pt>
                <c:pt idx="20">
                  <c:v>5.0840120499143097E-2</c:v>
                </c:pt>
                <c:pt idx="21">
                  <c:v>4.7700011134418435E-2</c:v>
                </c:pt>
                <c:pt idx="22">
                  <c:v>4.5036568799926194E-2</c:v>
                </c:pt>
                <c:pt idx="23">
                  <c:v>4.1708295222683461E-2</c:v>
                </c:pt>
                <c:pt idx="24">
                  <c:v>3.8516723405073762E-2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5A-4805-9AC8-5DE60DF71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696831"/>
        <c:axId val="108698271"/>
      </c:barChart>
      <c:catAx>
        <c:axId val="10869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08698271"/>
        <c:crosses val="autoZero"/>
        <c:auto val="1"/>
        <c:lblAlgn val="ctr"/>
        <c:lblOffset val="100"/>
        <c:noMultiLvlLbl val="0"/>
      </c:catAx>
      <c:valAx>
        <c:axId val="1086982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Aandeel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l-BE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0869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nl-BE"/>
              <a:t>Aard</a:t>
            </a:r>
            <a:r>
              <a:rPr lang="nl-BE" baseline="0"/>
              <a:t> van de bezigheid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v>Hoofdberoep</c:v>
          </c:tx>
          <c:spPr>
            <a:solidFill>
              <a:schemeClr val="tx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Cijfers!$B$1:$Z$1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Cijfers!$B$25:$Z$25</c:f>
              <c:numCache>
                <c:formatCode>0.00%</c:formatCode>
                <c:ptCount val="25"/>
                <c:pt idx="0">
                  <c:v>0.73770180389058648</c:v>
                </c:pt>
                <c:pt idx="1">
                  <c:v>0.73287467516263927</c:v>
                </c:pt>
                <c:pt idx="2">
                  <c:v>0.72972259282219454</c:v>
                </c:pt>
                <c:pt idx="3">
                  <c:v>0.7471467510257922</c:v>
                </c:pt>
                <c:pt idx="4">
                  <c:v>0.74046924743840126</c:v>
                </c:pt>
                <c:pt idx="5">
                  <c:v>0.73405221915255725</c:v>
                </c:pt>
                <c:pt idx="6">
                  <c:v>0.72759027142179056</c:v>
                </c:pt>
                <c:pt idx="7">
                  <c:v>0.72047860996249535</c:v>
                </c:pt>
                <c:pt idx="8">
                  <c:v>0.71422680546265693</c:v>
                </c:pt>
                <c:pt idx="9">
                  <c:v>0.70833431410101411</c:v>
                </c:pt>
                <c:pt idx="10">
                  <c:v>0.70306166903740874</c:v>
                </c:pt>
                <c:pt idx="11">
                  <c:v>0.69713660021280632</c:v>
                </c:pt>
                <c:pt idx="12">
                  <c:v>0.69142405117710792</c:v>
                </c:pt>
                <c:pt idx="13">
                  <c:v>0.68474110004884625</c:v>
                </c:pt>
                <c:pt idx="14">
                  <c:v>0.68120251756567074</c:v>
                </c:pt>
                <c:pt idx="15">
                  <c:v>0.68024537673266894</c:v>
                </c:pt>
                <c:pt idx="16">
                  <c:v>0.67491464513727628</c:v>
                </c:pt>
                <c:pt idx="17">
                  <c:v>0.66461260403231215</c:v>
                </c:pt>
                <c:pt idx="18">
                  <c:v>0.65984149495886379</c:v>
                </c:pt>
                <c:pt idx="19">
                  <c:v>0.65290760383051749</c:v>
                </c:pt>
                <c:pt idx="20">
                  <c:v>0.647948377801846</c:v>
                </c:pt>
                <c:pt idx="21">
                  <c:v>0.63943420899709769</c:v>
                </c:pt>
                <c:pt idx="22">
                  <c:v>0.63250344373431233</c:v>
                </c:pt>
                <c:pt idx="23">
                  <c:v>0.62440801457194894</c:v>
                </c:pt>
                <c:pt idx="24">
                  <c:v>0.61665531898524806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81-4B8E-8C40-68C54D6274DE}"/>
            </c:ext>
          </c:extLst>
        </c:ser>
        <c:ser>
          <c:idx val="1"/>
          <c:order val="1"/>
          <c:tx>
            <c:v>Bijberoep</c:v>
          </c:tx>
          <c:spPr>
            <a:pattFill prst="wdUp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Cijfers!$B$1:$Z$1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Cijfers!$B$26:$Z$26</c:f>
              <c:numCache>
                <c:formatCode>0.00%</c:formatCode>
                <c:ptCount val="25"/>
                <c:pt idx="0">
                  <c:v>0.18316175887823896</c:v>
                </c:pt>
                <c:pt idx="1">
                  <c:v>0.18954496303596588</c:v>
                </c:pt>
                <c:pt idx="2">
                  <c:v>0.19367701258838338</c:v>
                </c:pt>
                <c:pt idx="3">
                  <c:v>0.18454803859196525</c:v>
                </c:pt>
                <c:pt idx="4">
                  <c:v>0.19049524436529694</c:v>
                </c:pt>
                <c:pt idx="5">
                  <c:v>0.19642947739337782</c:v>
                </c:pt>
                <c:pt idx="6">
                  <c:v>0.20318138770096592</c:v>
                </c:pt>
                <c:pt idx="7">
                  <c:v>0.21025157079807372</c:v>
                </c:pt>
                <c:pt idx="8">
                  <c:v>0.21608405686046586</c:v>
                </c:pt>
                <c:pt idx="9">
                  <c:v>0.22025759595652666</c:v>
                </c:pt>
                <c:pt idx="10">
                  <c:v>0.22325041859781541</c:v>
                </c:pt>
                <c:pt idx="11">
                  <c:v>0.2261778582445953</c:v>
                </c:pt>
                <c:pt idx="12">
                  <c:v>0.22876851037916499</c:v>
                </c:pt>
                <c:pt idx="13">
                  <c:v>0.23071598170414373</c:v>
                </c:pt>
                <c:pt idx="14">
                  <c:v>0.23033816253930006</c:v>
                </c:pt>
                <c:pt idx="15">
                  <c:v>0.22937721940492667</c:v>
                </c:pt>
                <c:pt idx="16">
                  <c:v>0.23148786704480398</c:v>
                </c:pt>
                <c:pt idx="17">
                  <c:v>0.23826237884539186</c:v>
                </c:pt>
                <c:pt idx="18">
                  <c:v>0.24176332813850945</c:v>
                </c:pt>
                <c:pt idx="19">
                  <c:v>0.2455950358728925</c:v>
                </c:pt>
                <c:pt idx="20">
                  <c:v>0.24820777393643781</c:v>
                </c:pt>
                <c:pt idx="21">
                  <c:v>0.25481563597441198</c:v>
                </c:pt>
                <c:pt idx="22">
                  <c:v>0.25728115187743167</c:v>
                </c:pt>
                <c:pt idx="23">
                  <c:v>0.26007176528530218</c:v>
                </c:pt>
                <c:pt idx="24">
                  <c:v>0.26279768430365624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81-4B8E-8C40-68C54D6274DE}"/>
            </c:ext>
          </c:extLst>
        </c:ser>
        <c:ser>
          <c:idx val="2"/>
          <c:order val="2"/>
          <c:tx>
            <c:v>Actief na pensioen</c:v>
          </c:tx>
          <c:spPr>
            <a:solidFill>
              <a:schemeClr val="bg1">
                <a:lumMod val="6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Cijfers!$B$1:$Z$1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Cijfers!$B$27:$Z$27</c:f>
              <c:numCache>
                <c:formatCode>0.00%</c:formatCode>
                <c:ptCount val="25"/>
                <c:pt idx="0">
                  <c:v>7.9136437231174514E-2</c:v>
                </c:pt>
                <c:pt idx="1">
                  <c:v>7.7580361801394881E-2</c:v>
                </c:pt>
                <c:pt idx="2">
                  <c:v>7.6600394589422041E-2</c:v>
                </c:pt>
                <c:pt idx="3">
                  <c:v>6.8305210382242562E-2</c:v>
                </c:pt>
                <c:pt idx="4">
                  <c:v>6.9035508196301804E-2</c:v>
                </c:pt>
                <c:pt idx="5">
                  <c:v>6.9518303454064942E-2</c:v>
                </c:pt>
                <c:pt idx="6">
                  <c:v>6.9228340877243583E-2</c:v>
                </c:pt>
                <c:pt idx="7">
                  <c:v>6.9269819239430958E-2</c:v>
                </c:pt>
                <c:pt idx="8">
                  <c:v>6.9689137676877219E-2</c:v>
                </c:pt>
                <c:pt idx="9">
                  <c:v>7.1408089942459257E-2</c:v>
                </c:pt>
                <c:pt idx="10">
                  <c:v>7.3687912364775843E-2</c:v>
                </c:pt>
                <c:pt idx="11">
                  <c:v>7.6685541542598379E-2</c:v>
                </c:pt>
                <c:pt idx="12">
                  <c:v>7.9807438443727133E-2</c:v>
                </c:pt>
                <c:pt idx="13">
                  <c:v>8.4542918247010046E-2</c:v>
                </c:pt>
                <c:pt idx="14">
                  <c:v>8.845931989502924E-2</c:v>
                </c:pt>
                <c:pt idx="15">
                  <c:v>9.0377403862404379E-2</c:v>
                </c:pt>
                <c:pt idx="16">
                  <c:v>9.3597487817919697E-2</c:v>
                </c:pt>
                <c:pt idx="17">
                  <c:v>9.7125017122295945E-2</c:v>
                </c:pt>
                <c:pt idx="18">
                  <c:v>9.839517690262671E-2</c:v>
                </c:pt>
                <c:pt idx="19">
                  <c:v>0.10149736029659</c:v>
                </c:pt>
                <c:pt idx="20">
                  <c:v>0.10384384826171615</c:v>
                </c:pt>
                <c:pt idx="21">
                  <c:v>0.10575015502849029</c:v>
                </c:pt>
                <c:pt idx="22">
                  <c:v>0.11021540438825599</c:v>
                </c:pt>
                <c:pt idx="23">
                  <c:v>0.11552022014274882</c:v>
                </c:pt>
                <c:pt idx="24">
                  <c:v>0.12054699671109573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81-4B8E-8C40-68C54D627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696831"/>
        <c:axId val="108698271"/>
      </c:barChart>
      <c:catAx>
        <c:axId val="10869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08698271"/>
        <c:crosses val="autoZero"/>
        <c:auto val="1"/>
        <c:lblAlgn val="ctr"/>
        <c:lblOffset val="100"/>
        <c:noMultiLvlLbl val="0"/>
      </c:catAx>
      <c:valAx>
        <c:axId val="1086982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Aandeel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l-BE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0869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nl-BE"/>
              <a:t>Bedrijfstak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v>Landbouw en visserij</c:v>
          </c:tx>
          <c:spPr>
            <a:solidFill>
              <a:schemeClr val="bg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Cijfers!$B$1:$Z$1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Cijfers!$B$47:$Z$47</c:f>
              <c:numCache>
                <c:formatCode>0.00%</c:formatCode>
                <c:ptCount val="25"/>
                <c:pt idx="0">
                  <c:v>0.104899468250384</c:v>
                </c:pt>
                <c:pt idx="1">
                  <c:v>0.10319339719539598</c:v>
                </c:pt>
                <c:pt idx="2">
                  <c:v>0.10123771309149118</c:v>
                </c:pt>
                <c:pt idx="3">
                  <c:v>0.10662051817826312</c:v>
                </c:pt>
                <c:pt idx="4">
                  <c:v>0.104444834753762</c:v>
                </c:pt>
                <c:pt idx="5">
                  <c:v>0.10215066161786207</c:v>
                </c:pt>
                <c:pt idx="6">
                  <c:v>9.9707933710490998E-2</c:v>
                </c:pt>
                <c:pt idx="7">
                  <c:v>9.5958468607244121E-2</c:v>
                </c:pt>
                <c:pt idx="8">
                  <c:v>9.3282507852190499E-2</c:v>
                </c:pt>
                <c:pt idx="9">
                  <c:v>8.7340393434063524E-2</c:v>
                </c:pt>
                <c:pt idx="10">
                  <c:v>8.4577229328616346E-2</c:v>
                </c:pt>
                <c:pt idx="11">
                  <c:v>8.2534622268779334E-2</c:v>
                </c:pt>
                <c:pt idx="12">
                  <c:v>8.0267700621202198E-2</c:v>
                </c:pt>
                <c:pt idx="13">
                  <c:v>7.9583378700051249E-2</c:v>
                </c:pt>
                <c:pt idx="14">
                  <c:v>7.9924047792011441E-2</c:v>
                </c:pt>
                <c:pt idx="15">
                  <c:v>8.1893325633118907E-2</c:v>
                </c:pt>
                <c:pt idx="16">
                  <c:v>8.4284502353281276E-2</c:v>
                </c:pt>
                <c:pt idx="17">
                  <c:v>8.4869590158885719E-2</c:v>
                </c:pt>
                <c:pt idx="18">
                  <c:v>8.737909451883169E-2</c:v>
                </c:pt>
                <c:pt idx="19">
                  <c:v>8.6424195316218561E-2</c:v>
                </c:pt>
                <c:pt idx="20">
                  <c:v>8.6301635091866641E-2</c:v>
                </c:pt>
                <c:pt idx="21">
                  <c:v>8.2065540275304591E-2</c:v>
                </c:pt>
                <c:pt idx="22">
                  <c:v>7.9817490034644126E-2</c:v>
                </c:pt>
                <c:pt idx="23">
                  <c:v>7.7992760930916144E-2</c:v>
                </c:pt>
                <c:pt idx="24">
                  <c:v>7.6095628257650066E-2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F37-4A42-9EBE-8EB911F5E921}"/>
            </c:ext>
          </c:extLst>
        </c:ser>
        <c:ser>
          <c:idx val="2"/>
          <c:order val="1"/>
          <c:tx>
            <c:v>Nijverheid</c:v>
          </c:tx>
          <c:spPr>
            <a:solidFill>
              <a:schemeClr val="bg1">
                <a:lumMod val="8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Cijfers!$B$1:$Z$1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Cijfers!$B$48:$Z$48</c:f>
              <c:numCache>
                <c:formatCode>0.00%</c:formatCode>
                <c:ptCount val="25"/>
                <c:pt idx="0">
                  <c:v>0.20264101051296793</c:v>
                </c:pt>
                <c:pt idx="1">
                  <c:v>0.20012325436903972</c:v>
                </c:pt>
                <c:pt idx="2">
                  <c:v>0.20085582396634044</c:v>
                </c:pt>
                <c:pt idx="3">
                  <c:v>0.20028249411956972</c:v>
                </c:pt>
                <c:pt idx="4">
                  <c:v>0.19984366948658686</c:v>
                </c:pt>
                <c:pt idx="5">
                  <c:v>0.20040748649782997</c:v>
                </c:pt>
                <c:pt idx="6">
                  <c:v>0.20475300412662867</c:v>
                </c:pt>
                <c:pt idx="7">
                  <c:v>0.20818516742287455</c:v>
                </c:pt>
                <c:pt idx="8">
                  <c:v>0.20825459496550663</c:v>
                </c:pt>
                <c:pt idx="9">
                  <c:v>0.20334095835624763</c:v>
                </c:pt>
                <c:pt idx="10">
                  <c:v>0.21433572857015384</c:v>
                </c:pt>
                <c:pt idx="11">
                  <c:v>0.21590252975576762</c:v>
                </c:pt>
                <c:pt idx="12">
                  <c:v>0.21764331603219611</c:v>
                </c:pt>
                <c:pt idx="13">
                  <c:v>0.21750852311604923</c:v>
                </c:pt>
                <c:pt idx="14">
                  <c:v>0.21804760695421407</c:v>
                </c:pt>
                <c:pt idx="15">
                  <c:v>0.21397453714210662</c:v>
                </c:pt>
                <c:pt idx="16">
                  <c:v>0.22128401677055365</c:v>
                </c:pt>
                <c:pt idx="17">
                  <c:v>0.22367740031606151</c:v>
                </c:pt>
                <c:pt idx="18">
                  <c:v>0.22631636657121851</c:v>
                </c:pt>
                <c:pt idx="19">
                  <c:v>0.2307306017825094</c:v>
                </c:pt>
                <c:pt idx="20">
                  <c:v>0.23359010845091976</c:v>
                </c:pt>
                <c:pt idx="21">
                  <c:v>0.23741912307921123</c:v>
                </c:pt>
                <c:pt idx="22">
                  <c:v>0.24012371993293866</c:v>
                </c:pt>
                <c:pt idx="23">
                  <c:v>0.23990790903476472</c:v>
                </c:pt>
                <c:pt idx="24">
                  <c:v>0.23834285384571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37-4A42-9EBE-8EB911F5E921}"/>
            </c:ext>
          </c:extLst>
        </c:ser>
        <c:ser>
          <c:idx val="3"/>
          <c:order val="2"/>
          <c:tx>
            <c:v>Handel</c:v>
          </c:tx>
          <c:spPr>
            <a:solidFill>
              <a:schemeClr val="tx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Cijfers!$B$1:$Z$1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Cijfers!$B$49:$Z$49</c:f>
              <c:numCache>
                <c:formatCode>0.00%</c:formatCode>
                <c:ptCount val="25"/>
                <c:pt idx="0">
                  <c:v>0.40775773250994124</c:v>
                </c:pt>
                <c:pt idx="1">
                  <c:v>0.40732418293569728</c:v>
                </c:pt>
                <c:pt idx="2">
                  <c:v>0.40541736822184526</c:v>
                </c:pt>
                <c:pt idx="3">
                  <c:v>0.4024467259281741</c:v>
                </c:pt>
                <c:pt idx="4">
                  <c:v>0.39911156810904053</c:v>
                </c:pt>
                <c:pt idx="5">
                  <c:v>0.39388285973885812</c:v>
                </c:pt>
                <c:pt idx="6">
                  <c:v>0.3852867632196334</c:v>
                </c:pt>
                <c:pt idx="7">
                  <c:v>0.37907451649476104</c:v>
                </c:pt>
                <c:pt idx="8">
                  <c:v>0.3734135977643715</c:v>
                </c:pt>
                <c:pt idx="9">
                  <c:v>0.36396288632438945</c:v>
                </c:pt>
                <c:pt idx="10">
                  <c:v>0.35760588293958018</c:v>
                </c:pt>
                <c:pt idx="11">
                  <c:v>0.34867140394434043</c:v>
                </c:pt>
                <c:pt idx="12">
                  <c:v>0.34126164438019879</c:v>
                </c:pt>
                <c:pt idx="13">
                  <c:v>0.33513801304763458</c:v>
                </c:pt>
                <c:pt idx="14">
                  <c:v>0.32827871192300045</c:v>
                </c:pt>
                <c:pt idx="15">
                  <c:v>0.31988499897148054</c:v>
                </c:pt>
                <c:pt idx="16">
                  <c:v>0.31085608045935748</c:v>
                </c:pt>
                <c:pt idx="17">
                  <c:v>0.30341351930521632</c:v>
                </c:pt>
                <c:pt idx="18">
                  <c:v>0.29397490306890062</c:v>
                </c:pt>
                <c:pt idx="19">
                  <c:v>0.28808880233010048</c:v>
                </c:pt>
                <c:pt idx="20">
                  <c:v>0.28193434436950593</c:v>
                </c:pt>
                <c:pt idx="21">
                  <c:v>0.27589625972940923</c:v>
                </c:pt>
                <c:pt idx="22">
                  <c:v>0.26931195301887451</c:v>
                </c:pt>
                <c:pt idx="23">
                  <c:v>0.2631690862043356</c:v>
                </c:pt>
                <c:pt idx="24">
                  <c:v>0.2588340738176293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37-4A42-9EBE-8EB911F5E921}"/>
            </c:ext>
          </c:extLst>
        </c:ser>
        <c:ser>
          <c:idx val="4"/>
          <c:order val="3"/>
          <c:tx>
            <c:v>Vrije beroepen</c:v>
          </c:tx>
          <c:spPr>
            <a:pattFill prst="wdUp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Cijfers!$B$1:$Z$1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Cijfers!$B$50:$Z$50</c:f>
              <c:numCache>
                <c:formatCode>0.00%</c:formatCode>
                <c:ptCount val="25"/>
                <c:pt idx="0">
                  <c:v>0.19453708094997879</c:v>
                </c:pt>
                <c:pt idx="1">
                  <c:v>0.19912764136759417</c:v>
                </c:pt>
                <c:pt idx="2">
                  <c:v>0.20259614187614822</c:v>
                </c:pt>
                <c:pt idx="3">
                  <c:v>0.20155255032656086</c:v>
                </c:pt>
                <c:pt idx="4">
                  <c:v>0.20691925366137925</c:v>
                </c:pt>
                <c:pt idx="5">
                  <c:v>0.212647071032253</c:v>
                </c:pt>
                <c:pt idx="6">
                  <c:v>0.21840131180006858</c:v>
                </c:pt>
                <c:pt idx="7">
                  <c:v>0.22396165992967598</c:v>
                </c:pt>
                <c:pt idx="8">
                  <c:v>0.23043121567710667</c:v>
                </c:pt>
                <c:pt idx="9">
                  <c:v>0.24409560024051991</c:v>
                </c:pt>
                <c:pt idx="10">
                  <c:v>0.25320050179249098</c:v>
                </c:pt>
                <c:pt idx="11">
                  <c:v>0.25926903503055998</c:v>
                </c:pt>
                <c:pt idx="12">
                  <c:v>0.26679931658653383</c:v>
                </c:pt>
                <c:pt idx="13">
                  <c:v>0.27411819586635117</c:v>
                </c:pt>
                <c:pt idx="14">
                  <c:v>0.28153896734133804</c:v>
                </c:pt>
                <c:pt idx="15">
                  <c:v>0.28506792574186191</c:v>
                </c:pt>
                <c:pt idx="16">
                  <c:v>0.2969933548853968</c:v>
                </c:pt>
                <c:pt idx="17">
                  <c:v>0.30269828997676884</c:v>
                </c:pt>
                <c:pt idx="18">
                  <c:v>0.30731787109287229</c:v>
                </c:pt>
                <c:pt idx="19">
                  <c:v>0.31393300524447276</c:v>
                </c:pt>
                <c:pt idx="20">
                  <c:v>0.3165664339034468</c:v>
                </c:pt>
                <c:pt idx="21">
                  <c:v>0.32011696828478753</c:v>
                </c:pt>
                <c:pt idx="22">
                  <c:v>0.32758184635059601</c:v>
                </c:pt>
                <c:pt idx="23">
                  <c:v>0.3346896815904063</c:v>
                </c:pt>
                <c:pt idx="24">
                  <c:v>0.34119208354970859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37-4A42-9EBE-8EB911F5E921}"/>
            </c:ext>
          </c:extLst>
        </c:ser>
        <c:ser>
          <c:idx val="5"/>
          <c:order val="4"/>
          <c:tx>
            <c:v>Diensten</c:v>
          </c:tx>
          <c:spPr>
            <a:pattFill prst="wdDnDiag">
              <a:fgClr>
                <a:schemeClr val="bg1">
                  <a:lumMod val="65000"/>
                </a:schemeClr>
              </a:fgClr>
              <a:bgClr>
                <a:schemeClr val="bg1"/>
              </a:bgClr>
            </a:patt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Cijfers!$B$1:$Z$1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Cijfers!$B$51:$Z$51</c:f>
              <c:numCache>
                <c:formatCode>0.00%</c:formatCode>
                <c:ptCount val="25"/>
                <c:pt idx="0">
                  <c:v>8.6892692751373402E-2</c:v>
                </c:pt>
                <c:pt idx="1">
                  <c:v>8.6910713678084284E-2</c:v>
                </c:pt>
                <c:pt idx="2">
                  <c:v>8.696433982976573E-2</c:v>
                </c:pt>
                <c:pt idx="3">
                  <c:v>8.6219073022395246E-2</c:v>
                </c:pt>
                <c:pt idx="4">
                  <c:v>8.6499394568212568E-2</c:v>
                </c:pt>
                <c:pt idx="5">
                  <c:v>8.7340937288127779E-2</c:v>
                </c:pt>
                <c:pt idx="6">
                  <c:v>8.7877659199974562E-2</c:v>
                </c:pt>
                <c:pt idx="7">
                  <c:v>8.8386813031380601E-2</c:v>
                </c:pt>
                <c:pt idx="8">
                  <c:v>8.9624285401960727E-2</c:v>
                </c:pt>
                <c:pt idx="9">
                  <c:v>8.9835466413878254E-2</c:v>
                </c:pt>
                <c:pt idx="10">
                  <c:v>8.1245243206642975E-2</c:v>
                </c:pt>
                <c:pt idx="11">
                  <c:v>8.0628232305319333E-2</c:v>
                </c:pt>
                <c:pt idx="12">
                  <c:v>8.0033017488951183E-2</c:v>
                </c:pt>
                <c:pt idx="13">
                  <c:v>7.9802137846231302E-2</c:v>
                </c:pt>
                <c:pt idx="14">
                  <c:v>7.8680817637921771E-2</c:v>
                </c:pt>
                <c:pt idx="15">
                  <c:v>8.2197535609467784E-2</c:v>
                </c:pt>
                <c:pt idx="16">
                  <c:v>7.5895446669979466E-2</c:v>
                </c:pt>
                <c:pt idx="17">
                  <c:v>7.4700095517130111E-2</c:v>
                </c:pt>
                <c:pt idx="18">
                  <c:v>7.3283865667966269E-2</c:v>
                </c:pt>
                <c:pt idx="19">
                  <c:v>7.3202534464614E-2</c:v>
                </c:pt>
                <c:pt idx="20">
                  <c:v>7.1909715264549395E-2</c:v>
                </c:pt>
                <c:pt idx="21">
                  <c:v>7.0542636288938976E-2</c:v>
                </c:pt>
                <c:pt idx="22">
                  <c:v>6.9640579119994661E-2</c:v>
                </c:pt>
                <c:pt idx="23">
                  <c:v>6.8494414346803006E-2</c:v>
                </c:pt>
                <c:pt idx="24">
                  <c:v>6.7961456349893257E-2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37-4A42-9EBE-8EB911F5E921}"/>
            </c:ext>
          </c:extLst>
        </c:ser>
        <c:ser>
          <c:idx val="6"/>
          <c:order val="5"/>
          <c:tx>
            <c:v>Diversen</c:v>
          </c:tx>
          <c:spPr>
            <a:solidFill>
              <a:schemeClr val="bg1">
                <a:lumMod val="6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Cijfers!$B$1:$Z$1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Cijfers!$B$52:$Z$52</c:f>
              <c:numCache>
                <c:formatCode>0.00%</c:formatCode>
                <c:ptCount val="25"/>
                <c:pt idx="0">
                  <c:v>3.2720150253546568E-3</c:v>
                </c:pt>
                <c:pt idx="1">
                  <c:v>3.3208104541885691E-3</c:v>
                </c:pt>
                <c:pt idx="2">
                  <c:v>2.9286130144091783E-3</c:v>
                </c:pt>
                <c:pt idx="3">
                  <c:v>2.8786384250369169E-3</c:v>
                </c:pt>
                <c:pt idx="4">
                  <c:v>3.1812794210187771E-3</c:v>
                </c:pt>
                <c:pt idx="5">
                  <c:v>3.5709838250690676E-3</c:v>
                </c:pt>
                <c:pt idx="6">
                  <c:v>3.9733279432037812E-3</c:v>
                </c:pt>
                <c:pt idx="7">
                  <c:v>4.4333745140636982E-3</c:v>
                </c:pt>
                <c:pt idx="8">
                  <c:v>4.9937983388639593E-3</c:v>
                </c:pt>
                <c:pt idx="9">
                  <c:v>1.1424695230901243E-2</c:v>
                </c:pt>
                <c:pt idx="10">
                  <c:v>9.0354141625156818E-3</c:v>
                </c:pt>
                <c:pt idx="11">
                  <c:v>1.2994176695233303E-2</c:v>
                </c:pt>
                <c:pt idx="12">
                  <c:v>1.3995004890917864E-2</c:v>
                </c:pt>
                <c:pt idx="13">
                  <c:v>1.3849751423682525E-2</c:v>
                </c:pt>
                <c:pt idx="14">
                  <c:v>1.3529848351514221E-2</c:v>
                </c:pt>
                <c:pt idx="15">
                  <c:v>1.698167690196423E-2</c:v>
                </c:pt>
                <c:pt idx="16">
                  <c:v>1.0686598861431317E-2</c:v>
                </c:pt>
                <c:pt idx="17">
                  <c:v>1.0641104725937543E-2</c:v>
                </c:pt>
                <c:pt idx="18">
                  <c:v>1.1727899080210597E-2</c:v>
                </c:pt>
                <c:pt idx="19">
                  <c:v>7.6208608620847761E-3</c:v>
                </c:pt>
                <c:pt idx="20">
                  <c:v>9.6977629197114845E-3</c:v>
                </c:pt>
                <c:pt idx="21">
                  <c:v>1.3959472342348419E-2</c:v>
                </c:pt>
                <c:pt idx="22">
                  <c:v>1.3524411542952036E-2</c:v>
                </c:pt>
                <c:pt idx="23">
                  <c:v>1.5746147892774221E-2</c:v>
                </c:pt>
                <c:pt idx="24">
                  <c:v>1.7573904179408767E-2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37-4A42-9EBE-8EB911F5E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3785599"/>
        <c:axId val="1533787999"/>
      </c:barChart>
      <c:catAx>
        <c:axId val="153378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533787999"/>
        <c:crosses val="autoZero"/>
        <c:auto val="1"/>
        <c:lblAlgn val="ctr"/>
        <c:lblOffset val="100"/>
        <c:noMultiLvlLbl val="0"/>
      </c:catAx>
      <c:valAx>
        <c:axId val="153378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nl-BE"/>
                  <a:t>Aandeel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l-B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53378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Ondernemingsvorm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Vennootschappen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Cijfers!$E$56:$Y$56</c:f>
              <c:numCache>
                <c:formatCode>General</c:formatCod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Cijfers!$E$60:$Y$60</c:f>
              <c:numCache>
                <c:formatCode>0.00</c:formatCode>
                <c:ptCount val="21"/>
                <c:pt idx="0" formatCode="0">
                  <c:v>100</c:v>
                </c:pt>
                <c:pt idx="1">
                  <c:v>102.50467092043571</c:v>
                </c:pt>
                <c:pt idx="2">
                  <c:v>104.27403908297201</c:v>
                </c:pt>
                <c:pt idx="3">
                  <c:v>109.68790025969143</c:v>
                </c:pt>
                <c:pt idx="4">
                  <c:v>113.94137554200304</c:v>
                </c:pt>
                <c:pt idx="5">
                  <c:v>121.46420136073608</c:v>
                </c:pt>
                <c:pt idx="6">
                  <c:v>126.11073900424203</c:v>
                </c:pt>
                <c:pt idx="7">
                  <c:v>131.00345471851097</c:v>
                </c:pt>
                <c:pt idx="8">
                  <c:v>136.44463637325063</c:v>
                </c:pt>
                <c:pt idx="9">
                  <c:v>140.26832822176004</c:v>
                </c:pt>
                <c:pt idx="10">
                  <c:v>142.25185367974527</c:v>
                </c:pt>
                <c:pt idx="11">
                  <c:v>142.86553624516753</c:v>
                </c:pt>
                <c:pt idx="12">
                  <c:v>147.10226671836998</c:v>
                </c:pt>
                <c:pt idx="13">
                  <c:v>151.81196460676142</c:v>
                </c:pt>
                <c:pt idx="14">
                  <c:v>156.84392662835927</c:v>
                </c:pt>
                <c:pt idx="15">
                  <c:v>161.91907263134394</c:v>
                </c:pt>
                <c:pt idx="16">
                  <c:v>166.20897521768251</c:v>
                </c:pt>
                <c:pt idx="17">
                  <c:v>175.60633835090067</c:v>
                </c:pt>
                <c:pt idx="18">
                  <c:v>184.20964501004687</c:v>
                </c:pt>
                <c:pt idx="19">
                  <c:v>192.45014747182759</c:v>
                </c:pt>
                <c:pt idx="20">
                  <c:v>200.62513954007591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B4-4B5F-9D47-D850EEE4A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598079"/>
        <c:axId val="210601919"/>
      </c:lineChart>
      <c:catAx>
        <c:axId val="21059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210601919"/>
        <c:crosses val="autoZero"/>
        <c:auto val="1"/>
        <c:lblAlgn val="ctr"/>
        <c:lblOffset val="100"/>
        <c:noMultiLvlLbl val="0"/>
      </c:catAx>
      <c:valAx>
        <c:axId val="21060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Procentuele groei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l-B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21059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nl-BE"/>
              <a:t>Aard</a:t>
            </a:r>
            <a:r>
              <a:rPr lang="nl-BE" baseline="0"/>
              <a:t> van de bezigheid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v>Hoofdberoep</c:v>
          </c:tx>
          <c:spPr>
            <a:solidFill>
              <a:schemeClr val="tx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Cijfers!$B$1:$Z$1</c15:sqref>
                  </c15:fullRef>
                </c:ext>
              </c:extLst>
              <c:f>Cijfers!$E$1:$Z$1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Cijfers!$B$25:$Z$25</c15:sqref>
                  </c15:fullRef>
                </c:ext>
              </c:extLst>
              <c:f>Cijfers!$E$25:$Z$25</c:f>
              <c:numCache>
                <c:formatCode>0.00%</c:formatCode>
                <c:ptCount val="22"/>
                <c:pt idx="0">
                  <c:v>0.7471467510257922</c:v>
                </c:pt>
                <c:pt idx="1">
                  <c:v>0.74046924743840126</c:v>
                </c:pt>
                <c:pt idx="2">
                  <c:v>0.73405221915255725</c:v>
                </c:pt>
                <c:pt idx="3">
                  <c:v>0.72759027142179056</c:v>
                </c:pt>
                <c:pt idx="4">
                  <c:v>0.72047860996249535</c:v>
                </c:pt>
                <c:pt idx="5">
                  <c:v>0.71422680546265693</c:v>
                </c:pt>
                <c:pt idx="6">
                  <c:v>0.70833431410101411</c:v>
                </c:pt>
                <c:pt idx="7">
                  <c:v>0.70306166903740874</c:v>
                </c:pt>
                <c:pt idx="8">
                  <c:v>0.69713660021280632</c:v>
                </c:pt>
                <c:pt idx="9">
                  <c:v>0.69142405117710792</c:v>
                </c:pt>
                <c:pt idx="10">
                  <c:v>0.68474110004884625</c:v>
                </c:pt>
                <c:pt idx="11">
                  <c:v>0.68120251756567074</c:v>
                </c:pt>
                <c:pt idx="12">
                  <c:v>0.68024537673266894</c:v>
                </c:pt>
                <c:pt idx="13">
                  <c:v>0.67491464513727628</c:v>
                </c:pt>
                <c:pt idx="14">
                  <c:v>0.66461260403231215</c:v>
                </c:pt>
                <c:pt idx="15">
                  <c:v>0.65984149495886379</c:v>
                </c:pt>
                <c:pt idx="16">
                  <c:v>0.65290760383051749</c:v>
                </c:pt>
                <c:pt idx="17">
                  <c:v>0.647948377801846</c:v>
                </c:pt>
                <c:pt idx="18">
                  <c:v>0.63943420899709769</c:v>
                </c:pt>
                <c:pt idx="19">
                  <c:v>0.63250344373431233</c:v>
                </c:pt>
                <c:pt idx="20">
                  <c:v>0.62440801457194894</c:v>
                </c:pt>
                <c:pt idx="21">
                  <c:v>0.61665531898524806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4-4116-A33E-80CD263C3693}"/>
            </c:ext>
          </c:extLst>
        </c:ser>
        <c:ser>
          <c:idx val="1"/>
          <c:order val="1"/>
          <c:tx>
            <c:v>Bijberoep</c:v>
          </c:tx>
          <c:spPr>
            <a:pattFill prst="wdUp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Cijfers!$B$1:$Z$1</c15:sqref>
                  </c15:fullRef>
                </c:ext>
              </c:extLst>
              <c:f>Cijfers!$E$1:$Z$1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Cijfers!$B$26:$Z$26</c15:sqref>
                  </c15:fullRef>
                </c:ext>
              </c:extLst>
              <c:f>Cijfers!$E$26:$Z$26</c:f>
              <c:numCache>
                <c:formatCode>0.00%</c:formatCode>
                <c:ptCount val="22"/>
                <c:pt idx="0">
                  <c:v>0.18454803859196525</c:v>
                </c:pt>
                <c:pt idx="1">
                  <c:v>0.19049524436529694</c:v>
                </c:pt>
                <c:pt idx="2">
                  <c:v>0.19642947739337782</c:v>
                </c:pt>
                <c:pt idx="3">
                  <c:v>0.20318138770096592</c:v>
                </c:pt>
                <c:pt idx="4">
                  <c:v>0.21025157079807372</c:v>
                </c:pt>
                <c:pt idx="5">
                  <c:v>0.21608405686046586</c:v>
                </c:pt>
                <c:pt idx="6">
                  <c:v>0.22025759595652666</c:v>
                </c:pt>
                <c:pt idx="7">
                  <c:v>0.22325041859781541</c:v>
                </c:pt>
                <c:pt idx="8">
                  <c:v>0.2261778582445953</c:v>
                </c:pt>
                <c:pt idx="9">
                  <c:v>0.22876851037916499</c:v>
                </c:pt>
                <c:pt idx="10">
                  <c:v>0.23071598170414373</c:v>
                </c:pt>
                <c:pt idx="11">
                  <c:v>0.23033816253930006</c:v>
                </c:pt>
                <c:pt idx="12">
                  <c:v>0.22937721940492667</c:v>
                </c:pt>
                <c:pt idx="13">
                  <c:v>0.23148786704480398</c:v>
                </c:pt>
                <c:pt idx="14">
                  <c:v>0.23826237884539186</c:v>
                </c:pt>
                <c:pt idx="15">
                  <c:v>0.24176332813850945</c:v>
                </c:pt>
                <c:pt idx="16">
                  <c:v>0.2455950358728925</c:v>
                </c:pt>
                <c:pt idx="17">
                  <c:v>0.24820777393643781</c:v>
                </c:pt>
                <c:pt idx="18">
                  <c:v>0.25481563597441198</c:v>
                </c:pt>
                <c:pt idx="19">
                  <c:v>0.25728115187743167</c:v>
                </c:pt>
                <c:pt idx="20">
                  <c:v>0.26007176528530218</c:v>
                </c:pt>
                <c:pt idx="21">
                  <c:v>0.26279768430365624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04-4116-A33E-80CD263C3693}"/>
            </c:ext>
          </c:extLst>
        </c:ser>
        <c:ser>
          <c:idx val="2"/>
          <c:order val="2"/>
          <c:tx>
            <c:v>Actief na pensioen</c:v>
          </c:tx>
          <c:spPr>
            <a:solidFill>
              <a:schemeClr val="bg1">
                <a:lumMod val="6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Cijfers!$B$1:$Z$1</c15:sqref>
                  </c15:fullRef>
                </c:ext>
              </c:extLst>
              <c:f>Cijfers!$E$1:$Z$1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Cijfers!$B$27:$Z$27</c15:sqref>
                  </c15:fullRef>
                </c:ext>
              </c:extLst>
              <c:f>Cijfers!$E$27:$Z$27</c:f>
              <c:numCache>
                <c:formatCode>0.00%</c:formatCode>
                <c:ptCount val="22"/>
                <c:pt idx="0">
                  <c:v>6.8305210382242562E-2</c:v>
                </c:pt>
                <c:pt idx="1">
                  <c:v>6.9035508196301804E-2</c:v>
                </c:pt>
                <c:pt idx="2">
                  <c:v>6.9518303454064942E-2</c:v>
                </c:pt>
                <c:pt idx="3">
                  <c:v>6.9228340877243583E-2</c:v>
                </c:pt>
                <c:pt idx="4">
                  <c:v>6.9269819239430958E-2</c:v>
                </c:pt>
                <c:pt idx="5">
                  <c:v>6.9689137676877219E-2</c:v>
                </c:pt>
                <c:pt idx="6">
                  <c:v>7.1408089942459257E-2</c:v>
                </c:pt>
                <c:pt idx="7">
                  <c:v>7.3687912364775843E-2</c:v>
                </c:pt>
                <c:pt idx="8">
                  <c:v>7.6685541542598379E-2</c:v>
                </c:pt>
                <c:pt idx="9">
                  <c:v>7.9807438443727133E-2</c:v>
                </c:pt>
                <c:pt idx="10">
                  <c:v>8.4542918247010046E-2</c:v>
                </c:pt>
                <c:pt idx="11">
                  <c:v>8.845931989502924E-2</c:v>
                </c:pt>
                <c:pt idx="12">
                  <c:v>9.0377403862404379E-2</c:v>
                </c:pt>
                <c:pt idx="13">
                  <c:v>9.3597487817919697E-2</c:v>
                </c:pt>
                <c:pt idx="14">
                  <c:v>9.7125017122295945E-2</c:v>
                </c:pt>
                <c:pt idx="15">
                  <c:v>9.839517690262671E-2</c:v>
                </c:pt>
                <c:pt idx="16">
                  <c:v>0.10149736029659</c:v>
                </c:pt>
                <c:pt idx="17">
                  <c:v>0.10384384826171615</c:v>
                </c:pt>
                <c:pt idx="18">
                  <c:v>0.10575015502849029</c:v>
                </c:pt>
                <c:pt idx="19">
                  <c:v>0.11021540438825599</c:v>
                </c:pt>
                <c:pt idx="20">
                  <c:v>0.11552022014274882</c:v>
                </c:pt>
                <c:pt idx="21">
                  <c:v>0.12054699671109573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04-4116-A33E-80CD263C3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696831"/>
        <c:axId val="108698271"/>
      </c:barChart>
      <c:catAx>
        <c:axId val="10869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08698271"/>
        <c:crosses val="autoZero"/>
        <c:auto val="1"/>
        <c:lblAlgn val="ctr"/>
        <c:lblOffset val="100"/>
        <c:noMultiLvlLbl val="0"/>
      </c:catAx>
      <c:valAx>
        <c:axId val="1086982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Aandeel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l-BE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0869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nl-BE"/>
              <a:t>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v>Landbouw en visserij</c:v>
          </c:tx>
          <c:spPr>
            <a:solidFill>
              <a:schemeClr val="bg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Cijfers!$B$1:$Z$1</c15:sqref>
                  </c15:fullRef>
                </c:ext>
              </c:extLst>
              <c:f>Cijfers!$E$1:$Z$1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Cijfers!$B$47:$Z$47</c15:sqref>
                  </c15:fullRef>
                </c:ext>
              </c:extLst>
              <c:f>Cijfers!$E$47:$Z$47</c:f>
              <c:numCache>
                <c:formatCode>0.00%</c:formatCode>
                <c:ptCount val="22"/>
                <c:pt idx="0">
                  <c:v>0.10662051817826312</c:v>
                </c:pt>
                <c:pt idx="1">
                  <c:v>0.104444834753762</c:v>
                </c:pt>
                <c:pt idx="2">
                  <c:v>0.10215066161786207</c:v>
                </c:pt>
                <c:pt idx="3">
                  <c:v>9.9707933710490998E-2</c:v>
                </c:pt>
                <c:pt idx="4">
                  <c:v>9.5958468607244121E-2</c:v>
                </c:pt>
                <c:pt idx="5">
                  <c:v>9.3282507852190499E-2</c:v>
                </c:pt>
                <c:pt idx="6">
                  <c:v>8.7340393434063524E-2</c:v>
                </c:pt>
                <c:pt idx="7">
                  <c:v>8.4577229328616346E-2</c:v>
                </c:pt>
                <c:pt idx="8">
                  <c:v>8.2534622268779334E-2</c:v>
                </c:pt>
                <c:pt idx="9">
                  <c:v>8.0267700621202198E-2</c:v>
                </c:pt>
                <c:pt idx="10">
                  <c:v>7.9583378700051249E-2</c:v>
                </c:pt>
                <c:pt idx="11">
                  <c:v>7.9924047792011441E-2</c:v>
                </c:pt>
                <c:pt idx="12">
                  <c:v>8.1893325633118907E-2</c:v>
                </c:pt>
                <c:pt idx="13">
                  <c:v>8.4284502353281276E-2</c:v>
                </c:pt>
                <c:pt idx="14">
                  <c:v>8.4869590158885719E-2</c:v>
                </c:pt>
                <c:pt idx="15">
                  <c:v>8.737909451883169E-2</c:v>
                </c:pt>
                <c:pt idx="16">
                  <c:v>8.6424195316218561E-2</c:v>
                </c:pt>
                <c:pt idx="17">
                  <c:v>8.6301635091866641E-2</c:v>
                </c:pt>
                <c:pt idx="18">
                  <c:v>8.2065540275304591E-2</c:v>
                </c:pt>
                <c:pt idx="19">
                  <c:v>7.9817490034644126E-2</c:v>
                </c:pt>
                <c:pt idx="20">
                  <c:v>7.7992760930916144E-2</c:v>
                </c:pt>
                <c:pt idx="21">
                  <c:v>7.6095628257650066E-2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2-498B-8446-49879EA5F8B9}"/>
            </c:ext>
          </c:extLst>
        </c:ser>
        <c:ser>
          <c:idx val="2"/>
          <c:order val="1"/>
          <c:tx>
            <c:v>Nijverheid</c:v>
          </c:tx>
          <c:spPr>
            <a:solidFill>
              <a:schemeClr val="bg1">
                <a:lumMod val="8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Cijfers!$B$1:$Z$1</c15:sqref>
                  </c15:fullRef>
                </c:ext>
              </c:extLst>
              <c:f>Cijfers!$E$1:$Z$1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Cijfers!$B$48:$Z$48</c15:sqref>
                  </c15:fullRef>
                </c:ext>
              </c:extLst>
              <c:f>Cijfers!$E$48:$Z$48</c:f>
              <c:numCache>
                <c:formatCode>0.00%</c:formatCode>
                <c:ptCount val="22"/>
                <c:pt idx="0">
                  <c:v>0.20028249411956972</c:v>
                </c:pt>
                <c:pt idx="1">
                  <c:v>0.19984366948658686</c:v>
                </c:pt>
                <c:pt idx="2">
                  <c:v>0.20040748649782997</c:v>
                </c:pt>
                <c:pt idx="3">
                  <c:v>0.20475300412662867</c:v>
                </c:pt>
                <c:pt idx="4">
                  <c:v>0.20818516742287455</c:v>
                </c:pt>
                <c:pt idx="5">
                  <c:v>0.20825459496550663</c:v>
                </c:pt>
                <c:pt idx="6">
                  <c:v>0.20334095835624763</c:v>
                </c:pt>
                <c:pt idx="7">
                  <c:v>0.21433572857015384</c:v>
                </c:pt>
                <c:pt idx="8">
                  <c:v>0.21590252975576762</c:v>
                </c:pt>
                <c:pt idx="9">
                  <c:v>0.21764331603219611</c:v>
                </c:pt>
                <c:pt idx="10">
                  <c:v>0.21750852311604923</c:v>
                </c:pt>
                <c:pt idx="11">
                  <c:v>0.21804760695421407</c:v>
                </c:pt>
                <c:pt idx="12">
                  <c:v>0.21397453714210662</c:v>
                </c:pt>
                <c:pt idx="13">
                  <c:v>0.22128401677055365</c:v>
                </c:pt>
                <c:pt idx="14">
                  <c:v>0.22367740031606151</c:v>
                </c:pt>
                <c:pt idx="15">
                  <c:v>0.22631636657121851</c:v>
                </c:pt>
                <c:pt idx="16">
                  <c:v>0.2307306017825094</c:v>
                </c:pt>
                <c:pt idx="17">
                  <c:v>0.23359010845091976</c:v>
                </c:pt>
                <c:pt idx="18">
                  <c:v>0.23741912307921123</c:v>
                </c:pt>
                <c:pt idx="19">
                  <c:v>0.24012371993293866</c:v>
                </c:pt>
                <c:pt idx="20">
                  <c:v>0.23990790903476472</c:v>
                </c:pt>
                <c:pt idx="21">
                  <c:v>0.23834285384571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E2-498B-8446-49879EA5F8B9}"/>
            </c:ext>
          </c:extLst>
        </c:ser>
        <c:ser>
          <c:idx val="3"/>
          <c:order val="2"/>
          <c:tx>
            <c:v>Handel</c:v>
          </c:tx>
          <c:spPr>
            <a:solidFill>
              <a:schemeClr val="tx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Cijfers!$B$1:$Z$1</c15:sqref>
                  </c15:fullRef>
                </c:ext>
              </c:extLst>
              <c:f>Cijfers!$E$1:$Z$1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Cijfers!$B$49:$Z$49</c15:sqref>
                  </c15:fullRef>
                </c:ext>
              </c:extLst>
              <c:f>Cijfers!$E$49:$Z$49</c:f>
              <c:numCache>
                <c:formatCode>0.00%</c:formatCode>
                <c:ptCount val="22"/>
                <c:pt idx="0">
                  <c:v>0.4024467259281741</c:v>
                </c:pt>
                <c:pt idx="1">
                  <c:v>0.39911156810904053</c:v>
                </c:pt>
                <c:pt idx="2">
                  <c:v>0.39388285973885812</c:v>
                </c:pt>
                <c:pt idx="3">
                  <c:v>0.3852867632196334</c:v>
                </c:pt>
                <c:pt idx="4">
                  <c:v>0.37907451649476104</c:v>
                </c:pt>
                <c:pt idx="5">
                  <c:v>0.3734135977643715</c:v>
                </c:pt>
                <c:pt idx="6">
                  <c:v>0.36396288632438945</c:v>
                </c:pt>
                <c:pt idx="7">
                  <c:v>0.35760588293958018</c:v>
                </c:pt>
                <c:pt idx="8">
                  <c:v>0.34867140394434043</c:v>
                </c:pt>
                <c:pt idx="9">
                  <c:v>0.34126164438019879</c:v>
                </c:pt>
                <c:pt idx="10">
                  <c:v>0.33513801304763458</c:v>
                </c:pt>
                <c:pt idx="11">
                  <c:v>0.32827871192300045</c:v>
                </c:pt>
                <c:pt idx="12">
                  <c:v>0.31988499897148054</c:v>
                </c:pt>
                <c:pt idx="13">
                  <c:v>0.31085608045935748</c:v>
                </c:pt>
                <c:pt idx="14">
                  <c:v>0.30341351930521632</c:v>
                </c:pt>
                <c:pt idx="15">
                  <c:v>0.29397490306890062</c:v>
                </c:pt>
                <c:pt idx="16">
                  <c:v>0.28808880233010048</c:v>
                </c:pt>
                <c:pt idx="17">
                  <c:v>0.28193434436950593</c:v>
                </c:pt>
                <c:pt idx="18">
                  <c:v>0.27589625972940923</c:v>
                </c:pt>
                <c:pt idx="19">
                  <c:v>0.26931195301887451</c:v>
                </c:pt>
                <c:pt idx="20">
                  <c:v>0.2631690862043356</c:v>
                </c:pt>
                <c:pt idx="21">
                  <c:v>0.2588340738176293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E2-498B-8446-49879EA5F8B9}"/>
            </c:ext>
          </c:extLst>
        </c:ser>
        <c:ser>
          <c:idx val="4"/>
          <c:order val="3"/>
          <c:tx>
            <c:v>Vrije beroepen</c:v>
          </c:tx>
          <c:spPr>
            <a:pattFill prst="wdUp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Cijfers!$B$1:$Z$1</c15:sqref>
                  </c15:fullRef>
                </c:ext>
              </c:extLst>
              <c:f>Cijfers!$E$1:$Z$1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Cijfers!$B$50:$Z$50</c15:sqref>
                  </c15:fullRef>
                </c:ext>
              </c:extLst>
              <c:f>Cijfers!$E$50:$Z$50</c:f>
              <c:numCache>
                <c:formatCode>0.00%</c:formatCode>
                <c:ptCount val="22"/>
                <c:pt idx="0">
                  <c:v>0.20155255032656086</c:v>
                </c:pt>
                <c:pt idx="1">
                  <c:v>0.20691925366137925</c:v>
                </c:pt>
                <c:pt idx="2">
                  <c:v>0.212647071032253</c:v>
                </c:pt>
                <c:pt idx="3">
                  <c:v>0.21840131180006858</c:v>
                </c:pt>
                <c:pt idx="4">
                  <c:v>0.22396165992967598</c:v>
                </c:pt>
                <c:pt idx="5">
                  <c:v>0.23043121567710667</c:v>
                </c:pt>
                <c:pt idx="6">
                  <c:v>0.24409560024051991</c:v>
                </c:pt>
                <c:pt idx="7">
                  <c:v>0.25320050179249098</c:v>
                </c:pt>
                <c:pt idx="8">
                  <c:v>0.25926903503055998</c:v>
                </c:pt>
                <c:pt idx="9">
                  <c:v>0.26679931658653383</c:v>
                </c:pt>
                <c:pt idx="10">
                  <c:v>0.27411819586635117</c:v>
                </c:pt>
                <c:pt idx="11">
                  <c:v>0.28153896734133804</c:v>
                </c:pt>
                <c:pt idx="12">
                  <c:v>0.28506792574186191</c:v>
                </c:pt>
                <c:pt idx="13">
                  <c:v>0.2969933548853968</c:v>
                </c:pt>
                <c:pt idx="14">
                  <c:v>0.30269828997676884</c:v>
                </c:pt>
                <c:pt idx="15">
                  <c:v>0.30731787109287229</c:v>
                </c:pt>
                <c:pt idx="16">
                  <c:v>0.31393300524447276</c:v>
                </c:pt>
                <c:pt idx="17">
                  <c:v>0.3165664339034468</c:v>
                </c:pt>
                <c:pt idx="18">
                  <c:v>0.32011696828478753</c:v>
                </c:pt>
                <c:pt idx="19">
                  <c:v>0.32758184635059601</c:v>
                </c:pt>
                <c:pt idx="20">
                  <c:v>0.3346896815904063</c:v>
                </c:pt>
                <c:pt idx="21">
                  <c:v>0.34119208354970859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E2-498B-8446-49879EA5F8B9}"/>
            </c:ext>
          </c:extLst>
        </c:ser>
        <c:ser>
          <c:idx val="5"/>
          <c:order val="4"/>
          <c:tx>
            <c:v>Diensten</c:v>
          </c:tx>
          <c:spPr>
            <a:pattFill prst="wdDnDiag">
              <a:fgClr>
                <a:schemeClr val="bg1">
                  <a:lumMod val="65000"/>
                </a:schemeClr>
              </a:fgClr>
              <a:bgClr>
                <a:schemeClr val="bg1"/>
              </a:bgClr>
            </a:patt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Cijfers!$B$1:$Z$1</c15:sqref>
                  </c15:fullRef>
                </c:ext>
              </c:extLst>
              <c:f>Cijfers!$E$1:$Z$1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Cijfers!$B$51:$Z$51</c15:sqref>
                  </c15:fullRef>
                </c:ext>
              </c:extLst>
              <c:f>Cijfers!$E$51:$Z$51</c:f>
              <c:numCache>
                <c:formatCode>0.00%</c:formatCode>
                <c:ptCount val="22"/>
                <c:pt idx="0">
                  <c:v>8.6219073022395246E-2</c:v>
                </c:pt>
                <c:pt idx="1">
                  <c:v>8.6499394568212568E-2</c:v>
                </c:pt>
                <c:pt idx="2">
                  <c:v>8.7340937288127779E-2</c:v>
                </c:pt>
                <c:pt idx="3">
                  <c:v>8.7877659199974562E-2</c:v>
                </c:pt>
                <c:pt idx="4">
                  <c:v>8.8386813031380601E-2</c:v>
                </c:pt>
                <c:pt idx="5">
                  <c:v>8.9624285401960727E-2</c:v>
                </c:pt>
                <c:pt idx="6">
                  <c:v>8.9835466413878254E-2</c:v>
                </c:pt>
                <c:pt idx="7">
                  <c:v>8.1245243206642975E-2</c:v>
                </c:pt>
                <c:pt idx="8">
                  <c:v>8.0628232305319333E-2</c:v>
                </c:pt>
                <c:pt idx="9">
                  <c:v>8.0033017488951183E-2</c:v>
                </c:pt>
                <c:pt idx="10">
                  <c:v>7.9802137846231302E-2</c:v>
                </c:pt>
                <c:pt idx="11">
                  <c:v>7.8680817637921771E-2</c:v>
                </c:pt>
                <c:pt idx="12">
                  <c:v>8.2197535609467784E-2</c:v>
                </c:pt>
                <c:pt idx="13">
                  <c:v>7.5895446669979466E-2</c:v>
                </c:pt>
                <c:pt idx="14">
                  <c:v>7.4700095517130111E-2</c:v>
                </c:pt>
                <c:pt idx="15">
                  <c:v>7.3283865667966269E-2</c:v>
                </c:pt>
                <c:pt idx="16">
                  <c:v>7.3202534464614E-2</c:v>
                </c:pt>
                <c:pt idx="17">
                  <c:v>7.1909715264549395E-2</c:v>
                </c:pt>
                <c:pt idx="18">
                  <c:v>7.0542636288938976E-2</c:v>
                </c:pt>
                <c:pt idx="19">
                  <c:v>6.9640579119994661E-2</c:v>
                </c:pt>
                <c:pt idx="20">
                  <c:v>6.8494414346803006E-2</c:v>
                </c:pt>
                <c:pt idx="21">
                  <c:v>6.7961456349893257E-2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E2-498B-8446-49879EA5F8B9}"/>
            </c:ext>
          </c:extLst>
        </c:ser>
        <c:ser>
          <c:idx val="6"/>
          <c:order val="5"/>
          <c:tx>
            <c:v>Diversen</c:v>
          </c:tx>
          <c:spPr>
            <a:solidFill>
              <a:schemeClr val="bg1">
                <a:lumMod val="6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Cijfers!$B$1:$Z$1</c15:sqref>
                  </c15:fullRef>
                </c:ext>
              </c:extLst>
              <c:f>Cijfers!$E$1:$Z$1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Cijfers!$B$52:$Z$52</c15:sqref>
                  </c15:fullRef>
                </c:ext>
              </c:extLst>
              <c:f>Cijfers!$E$52:$Z$52</c:f>
              <c:numCache>
                <c:formatCode>0.00%</c:formatCode>
                <c:ptCount val="22"/>
                <c:pt idx="0">
                  <c:v>2.8786384250369169E-3</c:v>
                </c:pt>
                <c:pt idx="1">
                  <c:v>3.1812794210187771E-3</c:v>
                </c:pt>
                <c:pt idx="2">
                  <c:v>3.5709838250690676E-3</c:v>
                </c:pt>
                <c:pt idx="3">
                  <c:v>3.9733279432037812E-3</c:v>
                </c:pt>
                <c:pt idx="4">
                  <c:v>4.4333745140636982E-3</c:v>
                </c:pt>
                <c:pt idx="5">
                  <c:v>4.9937983388639593E-3</c:v>
                </c:pt>
                <c:pt idx="6">
                  <c:v>1.1424695230901243E-2</c:v>
                </c:pt>
                <c:pt idx="7">
                  <c:v>9.0354141625156818E-3</c:v>
                </c:pt>
                <c:pt idx="8">
                  <c:v>1.2994176695233303E-2</c:v>
                </c:pt>
                <c:pt idx="9">
                  <c:v>1.3995004890917864E-2</c:v>
                </c:pt>
                <c:pt idx="10">
                  <c:v>1.3849751423682525E-2</c:v>
                </c:pt>
                <c:pt idx="11">
                  <c:v>1.3529848351514221E-2</c:v>
                </c:pt>
                <c:pt idx="12">
                  <c:v>1.698167690196423E-2</c:v>
                </c:pt>
                <c:pt idx="13">
                  <c:v>1.0686598861431317E-2</c:v>
                </c:pt>
                <c:pt idx="14">
                  <c:v>1.0641104725937543E-2</c:v>
                </c:pt>
                <c:pt idx="15">
                  <c:v>1.1727899080210597E-2</c:v>
                </c:pt>
                <c:pt idx="16">
                  <c:v>7.6208608620847761E-3</c:v>
                </c:pt>
                <c:pt idx="17">
                  <c:v>9.6977629197114845E-3</c:v>
                </c:pt>
                <c:pt idx="18">
                  <c:v>1.3959472342348419E-2</c:v>
                </c:pt>
                <c:pt idx="19">
                  <c:v>1.3524411542952036E-2</c:v>
                </c:pt>
                <c:pt idx="20">
                  <c:v>1.5746147892774221E-2</c:v>
                </c:pt>
                <c:pt idx="21">
                  <c:v>1.7573904179408767E-2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E2-498B-8446-49879EA5F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3785599"/>
        <c:axId val="1533787999"/>
      </c:barChart>
      <c:catAx>
        <c:axId val="153378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533787999"/>
        <c:crosses val="autoZero"/>
        <c:auto val="1"/>
        <c:lblAlgn val="ctr"/>
        <c:lblOffset val="100"/>
        <c:noMultiLvlLbl val="0"/>
      </c:catAx>
      <c:valAx>
        <c:axId val="153378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nl-BE"/>
                  <a:t>Aandeel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l-B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53378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4762</xdr:rowOff>
    </xdr:from>
    <xdr:to>
      <xdr:col>8</xdr:col>
      <xdr:colOff>304800</xdr:colOff>
      <xdr:row>15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A3504E-4056-7B30-795C-41D70421A1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4762</xdr:rowOff>
    </xdr:from>
    <xdr:to>
      <xdr:col>16</xdr:col>
      <xdr:colOff>304800</xdr:colOff>
      <xdr:row>15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AAB6E1-CADA-C2DF-2DE4-C99B3ABD2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8</xdr:col>
      <xdr:colOff>304800</xdr:colOff>
      <xdr:row>30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62E7D1-AE3C-4A56-9977-706540DA4C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4762</xdr:colOff>
      <xdr:row>16</xdr:row>
      <xdr:rowOff>4762</xdr:rowOff>
    </xdr:from>
    <xdr:to>
      <xdr:col>16</xdr:col>
      <xdr:colOff>309562</xdr:colOff>
      <xdr:row>30</xdr:row>
      <xdr:rowOff>80962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BE35124-CBC5-A833-AB27-96658C523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D629A06-6297-4EF7-BA61-EA1DB65107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46</xdr:row>
      <xdr:rowOff>185738</xdr:rowOff>
    </xdr:from>
    <xdr:to>
      <xdr:col>8</xdr:col>
      <xdr:colOff>304800</xdr:colOff>
      <xdr:row>61</xdr:row>
      <xdr:rowOff>71438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950D7B8-2EB7-47A2-A7AD-F79D360787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4762</xdr:colOff>
      <xdr:row>47</xdr:row>
      <xdr:rowOff>0</xdr:rowOff>
    </xdr:from>
    <xdr:to>
      <xdr:col>16</xdr:col>
      <xdr:colOff>309562</xdr:colOff>
      <xdr:row>61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CEADBD3-83D7-4C58-875F-761B5B365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3860B-F135-4489-9697-ACE8AD76414C}">
  <dimension ref="A1:AB109"/>
  <sheetViews>
    <sheetView topLeftCell="B25" workbookViewId="0">
      <selection activeCell="A104" sqref="A104:XFD104"/>
    </sheetView>
  </sheetViews>
  <sheetFormatPr defaultRowHeight="15" x14ac:dyDescent="0.25"/>
  <cols>
    <col min="1" max="1" width="20.7109375" bestFit="1" customWidth="1"/>
    <col min="5" max="5" width="9.5703125" bestFit="1" customWidth="1"/>
  </cols>
  <sheetData>
    <row r="1" spans="1:28" x14ac:dyDescent="0.25">
      <c r="A1" t="s">
        <v>0</v>
      </c>
      <c r="B1" s="1">
        <v>2000</v>
      </c>
      <c r="C1" s="1">
        <v>2001</v>
      </c>
      <c r="D1" s="1">
        <v>2002</v>
      </c>
      <c r="E1" s="1">
        <v>2003</v>
      </c>
      <c r="F1" s="1">
        <v>2004</v>
      </c>
      <c r="G1" s="1">
        <v>2005</v>
      </c>
      <c r="H1" s="1">
        <v>2006</v>
      </c>
      <c r="I1" s="1">
        <v>2007</v>
      </c>
      <c r="J1" s="1">
        <v>2008</v>
      </c>
      <c r="K1" s="1">
        <v>2009</v>
      </c>
      <c r="L1" s="1">
        <v>2010</v>
      </c>
      <c r="M1" s="1">
        <v>2011</v>
      </c>
      <c r="N1" s="1">
        <v>2012</v>
      </c>
      <c r="O1" s="1">
        <v>2013</v>
      </c>
      <c r="P1" s="1">
        <v>2014</v>
      </c>
      <c r="Q1" s="1">
        <v>2015</v>
      </c>
      <c r="R1" s="1">
        <v>2016</v>
      </c>
      <c r="S1" s="1">
        <v>2017</v>
      </c>
      <c r="T1" s="1">
        <v>2018</v>
      </c>
      <c r="U1" s="1">
        <v>2019</v>
      </c>
      <c r="V1" s="1">
        <v>2020</v>
      </c>
      <c r="W1" s="1">
        <v>2021</v>
      </c>
      <c r="X1" s="1">
        <v>2022</v>
      </c>
      <c r="Y1" s="1">
        <v>2023</v>
      </c>
      <c r="Z1" s="1">
        <v>2024</v>
      </c>
    </row>
    <row r="2" spans="1:28" x14ac:dyDescent="0.25">
      <c r="A2" s="1" t="s">
        <v>1</v>
      </c>
    </row>
    <row r="3" spans="1:28" x14ac:dyDescent="0.25">
      <c r="A3" t="s">
        <v>2</v>
      </c>
      <c r="B3" s="2">
        <v>306441</v>
      </c>
      <c r="C3" s="2">
        <v>317284</v>
      </c>
      <c r="D3" s="2">
        <v>338652</v>
      </c>
      <c r="E3" s="3">
        <v>340404</v>
      </c>
      <c r="F3" s="2">
        <v>348930</v>
      </c>
      <c r="G3" s="2">
        <v>354953</v>
      </c>
      <c r="H3" s="2">
        <v>373382</v>
      </c>
      <c r="I3" s="2">
        <v>387861</v>
      </c>
      <c r="J3" s="2">
        <v>413469</v>
      </c>
      <c r="K3" s="2">
        <v>429286</v>
      </c>
      <c r="L3" s="2">
        <v>445941</v>
      </c>
      <c r="M3" s="2">
        <v>464463</v>
      </c>
      <c r="N3" s="2">
        <v>477479</v>
      </c>
      <c r="O3" s="2">
        <v>484231</v>
      </c>
      <c r="P3" s="2">
        <v>486320</v>
      </c>
      <c r="Q3" s="2">
        <v>500742</v>
      </c>
      <c r="R3" s="2">
        <v>516774</v>
      </c>
      <c r="S3" s="2">
        <v>533903</v>
      </c>
      <c r="T3" s="2">
        <v>551179</v>
      </c>
      <c r="U3" s="2">
        <v>565782</v>
      </c>
      <c r="V3" s="2">
        <v>597771</v>
      </c>
      <c r="W3" s="2">
        <v>627057</v>
      </c>
      <c r="X3" s="2">
        <v>655108</v>
      </c>
      <c r="Y3" s="2">
        <v>682936</v>
      </c>
      <c r="Z3" s="2">
        <v>707073</v>
      </c>
      <c r="AB3" s="17">
        <f>(Z3-B3)/B3</f>
        <v>1.3073707499975527</v>
      </c>
    </row>
    <row r="4" spans="1:28" x14ac:dyDescent="0.25">
      <c r="A4" s="5" t="s">
        <v>3</v>
      </c>
      <c r="B4" s="2"/>
      <c r="C4" s="2"/>
      <c r="D4" s="2"/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8" x14ac:dyDescent="0.25">
      <c r="A5" t="s">
        <v>7</v>
      </c>
      <c r="B5">
        <v>100</v>
      </c>
      <c r="C5" s="4">
        <f>C3/B3*B5</f>
        <v>103.53836464441768</v>
      </c>
      <c r="D5" s="4">
        <f>D3/C3*C5</f>
        <v>110.5113219184117</v>
      </c>
      <c r="E5" s="4">
        <f t="shared" ref="E5:Z5" si="0">E3/D3*D5</f>
        <v>111.08304698131124</v>
      </c>
      <c r="F5" s="4">
        <f t="shared" si="0"/>
        <v>113.86531175658608</v>
      </c>
      <c r="G5" s="4">
        <f t="shared" si="0"/>
        <v>115.83077982384863</v>
      </c>
      <c r="H5" s="4">
        <f t="shared" si="0"/>
        <v>121.84466177828683</v>
      </c>
      <c r="I5" s="4">
        <f t="shared" si="0"/>
        <v>126.5695517244755</v>
      </c>
      <c r="J5" s="4">
        <f t="shared" si="0"/>
        <v>134.92613586302093</v>
      </c>
      <c r="K5" s="4">
        <f t="shared" si="0"/>
        <v>140.08765145656096</v>
      </c>
      <c r="L5" s="4">
        <f t="shared" si="0"/>
        <v>145.52262915210432</v>
      </c>
      <c r="M5" s="4">
        <f t="shared" si="0"/>
        <v>151.56685952597726</v>
      </c>
      <c r="N5" s="4">
        <f t="shared" si="0"/>
        <v>155.81433293847755</v>
      </c>
      <c r="O5" s="4">
        <f t="shared" si="0"/>
        <v>158.01769345485752</v>
      </c>
      <c r="P5" s="4">
        <f t="shared" si="0"/>
        <v>158.69939074732164</v>
      </c>
      <c r="Q5" s="4">
        <f t="shared" si="0"/>
        <v>163.40568004934065</v>
      </c>
      <c r="R5" s="4">
        <f t="shared" si="0"/>
        <v>168.63735596738033</v>
      </c>
      <c r="S5" s="4">
        <f t="shared" si="0"/>
        <v>174.22701270391363</v>
      </c>
      <c r="T5" s="4">
        <f t="shared" si="0"/>
        <v>179.86463952277924</v>
      </c>
      <c r="U5" s="4">
        <f t="shared" si="0"/>
        <v>184.62999402821421</v>
      </c>
      <c r="V5" s="4">
        <f t="shared" si="0"/>
        <v>195.06887133249137</v>
      </c>
      <c r="W5" s="4">
        <f t="shared" si="0"/>
        <v>204.62568651061702</v>
      </c>
      <c r="X5" s="4">
        <f t="shared" si="0"/>
        <v>213.77948773173298</v>
      </c>
      <c r="Y5" s="4">
        <f t="shared" si="0"/>
        <v>222.86051801162372</v>
      </c>
      <c r="Z5" s="4">
        <f t="shared" si="0"/>
        <v>230.73707499975524</v>
      </c>
    </row>
    <row r="6" spans="1:28" x14ac:dyDescent="0.25">
      <c r="A6" t="s">
        <v>8</v>
      </c>
      <c r="B6">
        <v>100</v>
      </c>
      <c r="C6" s="4">
        <f>$B6+((C3-$B3)/$B3)*100</f>
        <v>103.53836464441768</v>
      </c>
      <c r="D6" s="4">
        <f>$B6+((D3-$B3)/$B3)*100</f>
        <v>110.5113219184117</v>
      </c>
      <c r="E6" s="4">
        <f t="shared" ref="E6:Z6" si="1">$B6+((E3-$B3)/$B3)*100</f>
        <v>111.08304698131124</v>
      </c>
      <c r="F6" s="4">
        <f t="shared" si="1"/>
        <v>113.8653117565861</v>
      </c>
      <c r="G6" s="4">
        <f t="shared" si="1"/>
        <v>115.83077982384864</v>
      </c>
      <c r="H6" s="4">
        <f t="shared" si="1"/>
        <v>121.84466177828685</v>
      </c>
      <c r="I6" s="4">
        <f t="shared" si="1"/>
        <v>126.5695517244755</v>
      </c>
      <c r="J6" s="4">
        <f t="shared" si="1"/>
        <v>134.92613586302093</v>
      </c>
      <c r="K6" s="4">
        <f t="shared" si="1"/>
        <v>140.08765145656096</v>
      </c>
      <c r="L6" s="4">
        <f t="shared" si="1"/>
        <v>145.52262915210432</v>
      </c>
      <c r="M6" s="4">
        <f t="shared" si="1"/>
        <v>151.56685952597726</v>
      </c>
      <c r="N6" s="4">
        <f t="shared" si="1"/>
        <v>155.81433293847755</v>
      </c>
      <c r="O6" s="4">
        <f t="shared" si="1"/>
        <v>158.01769345485755</v>
      </c>
      <c r="P6" s="4">
        <f t="shared" si="1"/>
        <v>158.69939074732167</v>
      </c>
      <c r="Q6" s="4">
        <f t="shared" si="1"/>
        <v>163.40568004934065</v>
      </c>
      <c r="R6" s="4">
        <f t="shared" si="1"/>
        <v>168.63735596738036</v>
      </c>
      <c r="S6" s="4">
        <f t="shared" si="1"/>
        <v>174.22701270391366</v>
      </c>
      <c r="T6" s="4">
        <f t="shared" si="1"/>
        <v>179.86463952277927</v>
      </c>
      <c r="U6" s="4">
        <f t="shared" si="1"/>
        <v>184.62999402821424</v>
      </c>
      <c r="V6" s="4">
        <f t="shared" si="1"/>
        <v>195.06887133249143</v>
      </c>
      <c r="W6" s="4">
        <f t="shared" si="1"/>
        <v>204.62568651061707</v>
      </c>
      <c r="X6" s="4">
        <f t="shared" si="1"/>
        <v>213.77948773173301</v>
      </c>
      <c r="Y6" s="4">
        <f t="shared" si="1"/>
        <v>222.86051801162375</v>
      </c>
      <c r="Z6" s="4">
        <f t="shared" si="1"/>
        <v>230.73707499975527</v>
      </c>
    </row>
    <row r="7" spans="1:28" x14ac:dyDescent="0.25">
      <c r="A7" s="1" t="s">
        <v>4</v>
      </c>
    </row>
    <row r="8" spans="1:28" x14ac:dyDescent="0.25">
      <c r="A8" t="s">
        <v>5</v>
      </c>
      <c r="B8" s="2">
        <v>748899</v>
      </c>
      <c r="C8" s="2">
        <v>748164</v>
      </c>
      <c r="D8" s="2">
        <v>751168</v>
      </c>
      <c r="E8" s="2">
        <v>753826</v>
      </c>
      <c r="F8" s="2">
        <v>761344</v>
      </c>
      <c r="G8" s="2">
        <v>774536</v>
      </c>
      <c r="H8" s="2">
        <v>791288</v>
      </c>
      <c r="I8" s="2">
        <v>817491</v>
      </c>
      <c r="J8" s="2">
        <v>839288</v>
      </c>
      <c r="K8" s="2">
        <v>857909</v>
      </c>
      <c r="L8" s="2">
        <v>877864</v>
      </c>
      <c r="M8" s="2">
        <v>896917</v>
      </c>
      <c r="N8" s="2">
        <v>917653</v>
      </c>
      <c r="O8" s="2">
        <v>931846</v>
      </c>
      <c r="P8" s="2">
        <v>947782</v>
      </c>
      <c r="Q8" s="2">
        <v>968122</v>
      </c>
      <c r="R8" s="2">
        <v>992505</v>
      </c>
      <c r="S8" s="2">
        <v>1022895</v>
      </c>
      <c r="T8" s="2">
        <v>1049159</v>
      </c>
      <c r="U8" s="2">
        <v>1083177</v>
      </c>
      <c r="V8" s="2">
        <v>1122616</v>
      </c>
      <c r="W8" s="2">
        <v>1171728</v>
      </c>
      <c r="X8" s="2">
        <v>1200729</v>
      </c>
      <c r="Y8" s="2">
        <v>1225818</v>
      </c>
      <c r="Z8" s="2">
        <v>1249760</v>
      </c>
    </row>
    <row r="9" spans="1:28" x14ac:dyDescent="0.25">
      <c r="A9" t="s">
        <v>6</v>
      </c>
      <c r="B9" s="2">
        <v>46024</v>
      </c>
      <c r="C9" s="2">
        <v>45317</v>
      </c>
      <c r="D9" s="2">
        <v>44089</v>
      </c>
      <c r="E9" s="2">
        <v>102829</v>
      </c>
      <c r="F9" s="2">
        <v>98373</v>
      </c>
      <c r="G9" s="2">
        <v>92732</v>
      </c>
      <c r="H9" s="2">
        <v>89334</v>
      </c>
      <c r="I9" s="2">
        <v>87463</v>
      </c>
      <c r="J9" s="2">
        <v>84658</v>
      </c>
      <c r="K9" s="2">
        <v>76733</v>
      </c>
      <c r="L9" s="2">
        <v>74721</v>
      </c>
      <c r="M9" s="2">
        <v>72979</v>
      </c>
      <c r="N9" s="2">
        <v>70914</v>
      </c>
      <c r="O9" s="2">
        <v>69255</v>
      </c>
      <c r="P9" s="2">
        <v>68120</v>
      </c>
      <c r="Q9" s="2">
        <v>67347</v>
      </c>
      <c r="R9" s="2">
        <v>66017</v>
      </c>
      <c r="S9" s="2">
        <v>64868</v>
      </c>
      <c r="T9" s="2">
        <v>63487</v>
      </c>
      <c r="U9" s="2">
        <v>61838</v>
      </c>
      <c r="V9" s="2">
        <v>60131</v>
      </c>
      <c r="W9" s="2">
        <v>58691</v>
      </c>
      <c r="X9" s="2">
        <v>56627</v>
      </c>
      <c r="Y9" s="2">
        <v>53352</v>
      </c>
      <c r="Z9" s="2">
        <v>50065</v>
      </c>
    </row>
    <row r="10" spans="1:28" x14ac:dyDescent="0.25">
      <c r="A10" s="5" t="s">
        <v>3</v>
      </c>
    </row>
    <row r="11" spans="1:28" x14ac:dyDescent="0.25">
      <c r="A11" t="s">
        <v>5</v>
      </c>
      <c r="B11">
        <v>100</v>
      </c>
      <c r="C11" s="4">
        <f>C8/B8*B11</f>
        <v>99.90185592449717</v>
      </c>
      <c r="D11" s="4">
        <f t="shared" ref="D11:Y12" si="2">D8/C8*C11</f>
        <v>100.30297810519176</v>
      </c>
      <c r="E11" s="4">
        <f t="shared" si="2"/>
        <v>100.65789912925509</v>
      </c>
      <c r="F11" s="4">
        <f t="shared" si="2"/>
        <v>101.66177281582696</v>
      </c>
      <c r="G11" s="4">
        <f t="shared" si="2"/>
        <v>103.42329205940989</v>
      </c>
      <c r="H11" s="4">
        <f t="shared" si="2"/>
        <v>105.66017580474804</v>
      </c>
      <c r="I11" s="4">
        <f t="shared" si="2"/>
        <v>109.15904547876283</v>
      </c>
      <c r="J11" s="4">
        <f t="shared" si="2"/>
        <v>112.0695848171783</v>
      </c>
      <c r="K11" s="4">
        <f t="shared" si="2"/>
        <v>114.55603492593796</v>
      </c>
      <c r="L11" s="4">
        <f t="shared" si="2"/>
        <v>117.22061319350141</v>
      </c>
      <c r="M11" s="4">
        <f t="shared" si="2"/>
        <v>119.76474798337293</v>
      </c>
      <c r="N11" s="4">
        <f t="shared" si="2"/>
        <v>122.53361267674279</v>
      </c>
      <c r="O11" s="4">
        <f t="shared" si="2"/>
        <v>124.42879480410578</v>
      </c>
      <c r="P11" s="4">
        <f t="shared" si="2"/>
        <v>126.55671859623261</v>
      </c>
      <c r="Q11" s="4">
        <f t="shared" si="2"/>
        <v>129.27270566524993</v>
      </c>
      <c r="R11" s="4">
        <f t="shared" si="2"/>
        <v>132.52855191421006</v>
      </c>
      <c r="S11" s="4">
        <f t="shared" si="2"/>
        <v>136.58650899520495</v>
      </c>
      <c r="T11" s="4">
        <f t="shared" si="2"/>
        <v>140.0935239598397</v>
      </c>
      <c r="U11" s="4">
        <f t="shared" si="2"/>
        <v>144.6359255386908</v>
      </c>
      <c r="V11" s="4">
        <f t="shared" si="2"/>
        <v>149.90218974788323</v>
      </c>
      <c r="W11" s="4">
        <f t="shared" si="2"/>
        <v>156.46008340243478</v>
      </c>
      <c r="X11" s="4">
        <f t="shared" si="2"/>
        <v>160.33256821013248</v>
      </c>
      <c r="Y11" s="4">
        <f t="shared" si="2"/>
        <v>163.68268618331712</v>
      </c>
      <c r="Z11" s="4">
        <f>Z8/Y8*Y11</f>
        <v>166.87964598697553</v>
      </c>
    </row>
    <row r="12" spans="1:28" x14ac:dyDescent="0.25">
      <c r="A12" t="s">
        <v>6</v>
      </c>
      <c r="B12">
        <v>100</v>
      </c>
      <c r="C12" s="4">
        <f>C9/B9*B12</f>
        <v>98.46384495046064</v>
      </c>
      <c r="D12" s="4">
        <f t="shared" si="2"/>
        <v>95.795671823396489</v>
      </c>
      <c r="E12" s="4">
        <f t="shared" si="2"/>
        <v>223.42473492091082</v>
      </c>
      <c r="F12" s="4">
        <f t="shared" si="2"/>
        <v>213.74282982791587</v>
      </c>
      <c r="G12" s="4">
        <f t="shared" si="2"/>
        <v>201.48618112289242</v>
      </c>
      <c r="H12" s="4">
        <f t="shared" si="2"/>
        <v>194.10307665565793</v>
      </c>
      <c r="I12" s="4">
        <f t="shared" si="2"/>
        <v>190.03780636189816</v>
      </c>
      <c r="J12" s="4">
        <f t="shared" si="2"/>
        <v>183.94316009038764</v>
      </c>
      <c r="K12" s="4">
        <f t="shared" si="2"/>
        <v>166.72388319137843</v>
      </c>
      <c r="L12" s="4">
        <f t="shared" si="2"/>
        <v>162.35225099947857</v>
      </c>
      <c r="M12" s="4">
        <f t="shared" si="2"/>
        <v>158.56726925082569</v>
      </c>
      <c r="N12" s="4">
        <f t="shared" si="2"/>
        <v>154.08047974969585</v>
      </c>
      <c r="O12" s="4">
        <f t="shared" si="2"/>
        <v>150.47583869285594</v>
      </c>
      <c r="P12" s="4">
        <f t="shared" si="2"/>
        <v>148.00973405179911</v>
      </c>
      <c r="Q12" s="4">
        <f t="shared" si="2"/>
        <v>146.33017556057715</v>
      </c>
      <c r="R12" s="4">
        <f t="shared" si="2"/>
        <v>143.44037893273079</v>
      </c>
      <c r="S12" s="4">
        <f t="shared" si="2"/>
        <v>140.94385537980187</v>
      </c>
      <c r="T12" s="4">
        <f t="shared" si="2"/>
        <v>137.94324700156443</v>
      </c>
      <c r="U12" s="4">
        <f t="shared" si="2"/>
        <v>134.36033373891885</v>
      </c>
      <c r="V12" s="4">
        <f t="shared" si="2"/>
        <v>130.65139926994615</v>
      </c>
      <c r="W12" s="4">
        <f t="shared" si="2"/>
        <v>127.52259690596215</v>
      </c>
      <c r="X12" s="4">
        <f t="shared" si="2"/>
        <v>123.03798018425172</v>
      </c>
      <c r="Y12" s="4">
        <f t="shared" si="2"/>
        <v>115.92212758560754</v>
      </c>
      <c r="Z12" s="4">
        <f>Z9/Y9*Y12</f>
        <v>108.78020163393016</v>
      </c>
    </row>
    <row r="13" spans="1:28" x14ac:dyDescent="0.25">
      <c r="A13" s="5" t="s">
        <v>9</v>
      </c>
    </row>
    <row r="14" spans="1:28" x14ac:dyDescent="0.25">
      <c r="A14" t="s">
        <v>5</v>
      </c>
      <c r="B14" s="6">
        <f>B8/(B8+B9)</f>
        <v>0.94210256842486628</v>
      </c>
      <c r="C14" s="6">
        <f t="shared" ref="C14:Z14" si="3">C8/(C8+C9)</f>
        <v>0.94288836153606703</v>
      </c>
      <c r="D14" s="6">
        <f t="shared" si="3"/>
        <v>0.94456006045844298</v>
      </c>
      <c r="E14" s="6">
        <f t="shared" si="3"/>
        <v>0.87996451313539292</v>
      </c>
      <c r="F14" s="6">
        <f t="shared" si="3"/>
        <v>0.88557513693459589</v>
      </c>
      <c r="G14" s="6">
        <f t="shared" si="3"/>
        <v>0.89307572745679531</v>
      </c>
      <c r="H14" s="6">
        <f t="shared" si="3"/>
        <v>0.89855579351867199</v>
      </c>
      <c r="I14" s="6">
        <f t="shared" si="3"/>
        <v>0.90335088855345136</v>
      </c>
      <c r="J14" s="6">
        <f t="shared" si="3"/>
        <v>0.90837343307942242</v>
      </c>
      <c r="K14" s="6">
        <f t="shared" si="3"/>
        <v>0.91790118569462964</v>
      </c>
      <c r="L14" s="6">
        <f t="shared" si="3"/>
        <v>0.92155975582231509</v>
      </c>
      <c r="M14" s="6">
        <f t="shared" si="3"/>
        <v>0.92475585011176453</v>
      </c>
      <c r="N14" s="6">
        <f t="shared" si="3"/>
        <v>0.92826586361875318</v>
      </c>
      <c r="O14" s="6">
        <f t="shared" si="3"/>
        <v>0.93082116589634811</v>
      </c>
      <c r="P14" s="6">
        <f t="shared" si="3"/>
        <v>0.93294628812621694</v>
      </c>
      <c r="Q14" s="6">
        <f t="shared" si="3"/>
        <v>0.93495990705660914</v>
      </c>
      <c r="R14" s="6">
        <f t="shared" si="3"/>
        <v>0.93763285033282251</v>
      </c>
      <c r="S14" s="6">
        <f t="shared" si="3"/>
        <v>0.94036568627541106</v>
      </c>
      <c r="T14" s="6">
        <f t="shared" si="3"/>
        <v>0.94294052196296041</v>
      </c>
      <c r="U14" s="6">
        <f t="shared" si="3"/>
        <v>0.94599372060628029</v>
      </c>
      <c r="V14" s="6">
        <f t="shared" si="3"/>
        <v>0.9491598795008569</v>
      </c>
      <c r="W14" s="6">
        <f t="shared" si="3"/>
        <v>0.95229998886558154</v>
      </c>
      <c r="X14" s="6">
        <f t="shared" si="3"/>
        <v>0.95496343120007376</v>
      </c>
      <c r="Y14" s="6">
        <f t="shared" si="3"/>
        <v>0.95829170477731651</v>
      </c>
      <c r="Z14" s="6">
        <f t="shared" si="3"/>
        <v>0.96148327659492627</v>
      </c>
    </row>
    <row r="15" spans="1:28" x14ac:dyDescent="0.25">
      <c r="A15" t="s">
        <v>6</v>
      </c>
      <c r="B15" s="7">
        <f>B9/(B8+B9)</f>
        <v>5.789743157513369E-2</v>
      </c>
      <c r="C15" s="7">
        <f t="shared" ref="C15:Z15" si="4">C9/(C8+C9)</f>
        <v>5.7111638463932975E-2</v>
      </c>
      <c r="D15" s="7">
        <f t="shared" si="4"/>
        <v>5.5439939541557008E-2</v>
      </c>
      <c r="E15" s="7">
        <f t="shared" si="4"/>
        <v>0.1200354868646071</v>
      </c>
      <c r="F15" s="7">
        <f t="shared" si="4"/>
        <v>0.11442486306540409</v>
      </c>
      <c r="G15" s="7">
        <f t="shared" si="4"/>
        <v>0.10692427254320463</v>
      </c>
      <c r="H15" s="7">
        <f t="shared" si="4"/>
        <v>0.10144420648132797</v>
      </c>
      <c r="I15" s="7">
        <f t="shared" si="4"/>
        <v>9.6649111446548669E-2</v>
      </c>
      <c r="J15" s="7">
        <f t="shared" si="4"/>
        <v>9.1626566920577607E-2</v>
      </c>
      <c r="K15" s="7">
        <f t="shared" si="4"/>
        <v>8.2098814305370402E-2</v>
      </c>
      <c r="L15" s="7">
        <f t="shared" si="4"/>
        <v>7.8440244177684929E-2</v>
      </c>
      <c r="M15" s="7">
        <f t="shared" si="4"/>
        <v>7.524414988823544E-2</v>
      </c>
      <c r="N15" s="7">
        <f t="shared" si="4"/>
        <v>7.1734136381246788E-2</v>
      </c>
      <c r="O15" s="7">
        <f t="shared" si="4"/>
        <v>6.9178834103651873E-2</v>
      </c>
      <c r="P15" s="7">
        <f t="shared" si="4"/>
        <v>6.7053711873783103E-2</v>
      </c>
      <c r="Q15" s="7">
        <f t="shared" si="4"/>
        <v>6.5040092943390873E-2</v>
      </c>
      <c r="R15" s="7">
        <f t="shared" si="4"/>
        <v>6.2367149667177442E-2</v>
      </c>
      <c r="S15" s="7">
        <f t="shared" si="4"/>
        <v>5.9634313724588904E-2</v>
      </c>
      <c r="T15" s="7">
        <f t="shared" si="4"/>
        <v>5.7059478037039632E-2</v>
      </c>
      <c r="U15" s="7">
        <f t="shared" si="4"/>
        <v>5.4006279393719735E-2</v>
      </c>
      <c r="V15" s="7">
        <f t="shared" si="4"/>
        <v>5.0840120499143097E-2</v>
      </c>
      <c r="W15" s="7">
        <f t="shared" si="4"/>
        <v>4.7700011134418435E-2</v>
      </c>
      <c r="X15" s="7">
        <f t="shared" si="4"/>
        <v>4.5036568799926194E-2</v>
      </c>
      <c r="Y15" s="7">
        <f t="shared" si="4"/>
        <v>4.1708295222683461E-2</v>
      </c>
      <c r="Z15" s="7">
        <f t="shared" si="4"/>
        <v>3.8516723405073762E-2</v>
      </c>
    </row>
    <row r="16" spans="1:28" x14ac:dyDescent="0.25">
      <c r="A16" s="1" t="s">
        <v>10</v>
      </c>
    </row>
    <row r="17" spans="1:26" x14ac:dyDescent="0.25">
      <c r="A17" t="s">
        <v>11</v>
      </c>
      <c r="B17" s="8" t="s">
        <v>14</v>
      </c>
      <c r="C17" s="8" t="s">
        <v>17</v>
      </c>
      <c r="D17" s="8" t="s">
        <v>20</v>
      </c>
      <c r="E17" s="8" t="s">
        <v>23</v>
      </c>
      <c r="F17" s="8" t="s">
        <v>26</v>
      </c>
      <c r="G17" s="8" t="s">
        <v>29</v>
      </c>
      <c r="H17" s="8" t="s">
        <v>31</v>
      </c>
      <c r="I17" s="8" t="s">
        <v>34</v>
      </c>
      <c r="J17" s="8" t="s">
        <v>37</v>
      </c>
      <c r="K17" s="8" t="s">
        <v>40</v>
      </c>
      <c r="L17" s="8" t="s">
        <v>43</v>
      </c>
      <c r="M17" s="8" t="s">
        <v>46</v>
      </c>
      <c r="N17" s="8" t="s">
        <v>49</v>
      </c>
      <c r="O17" s="8" t="s">
        <v>52</v>
      </c>
      <c r="P17" s="8" t="s">
        <v>55</v>
      </c>
      <c r="Q17" s="8" t="s">
        <v>58</v>
      </c>
      <c r="R17" s="8" t="s">
        <v>61</v>
      </c>
      <c r="S17" s="8" t="s">
        <v>64</v>
      </c>
      <c r="T17" s="8" t="s">
        <v>67</v>
      </c>
      <c r="U17" s="8" t="s">
        <v>70</v>
      </c>
      <c r="V17" s="8" t="s">
        <v>73</v>
      </c>
      <c r="W17" s="8" t="s">
        <v>76</v>
      </c>
      <c r="X17" s="8" t="s">
        <v>79</v>
      </c>
      <c r="Y17" s="8" t="s">
        <v>82</v>
      </c>
      <c r="Z17" s="8" t="s">
        <v>85</v>
      </c>
    </row>
    <row r="18" spans="1:26" x14ac:dyDescent="0.25">
      <c r="A18" t="s">
        <v>12</v>
      </c>
      <c r="B18" s="8" t="s">
        <v>15</v>
      </c>
      <c r="C18" s="8" t="s">
        <v>18</v>
      </c>
      <c r="D18" s="8" t="s">
        <v>21</v>
      </c>
      <c r="E18" s="8" t="s">
        <v>24</v>
      </c>
      <c r="F18" s="8" t="s">
        <v>27</v>
      </c>
      <c r="G18" s="8" t="s">
        <v>30</v>
      </c>
      <c r="H18" s="8" t="s">
        <v>32</v>
      </c>
      <c r="I18" s="8" t="s">
        <v>35</v>
      </c>
      <c r="J18" s="8" t="s">
        <v>38</v>
      </c>
      <c r="K18" s="8" t="s">
        <v>41</v>
      </c>
      <c r="L18" s="8" t="s">
        <v>44</v>
      </c>
      <c r="M18" s="8" t="s">
        <v>47</v>
      </c>
      <c r="N18" s="8" t="s">
        <v>50</v>
      </c>
      <c r="O18" s="8" t="s">
        <v>53</v>
      </c>
      <c r="P18" s="8" t="s">
        <v>56</v>
      </c>
      <c r="Q18" s="8" t="s">
        <v>59</v>
      </c>
      <c r="R18" s="8" t="s">
        <v>62</v>
      </c>
      <c r="S18" s="8" t="s">
        <v>65</v>
      </c>
      <c r="T18" s="8" t="s">
        <v>68</v>
      </c>
      <c r="U18" s="8" t="s">
        <v>71</v>
      </c>
      <c r="V18" s="8" t="s">
        <v>74</v>
      </c>
      <c r="W18" s="8" t="s">
        <v>77</v>
      </c>
      <c r="X18" s="8" t="s">
        <v>80</v>
      </c>
      <c r="Y18" s="8" t="s">
        <v>83</v>
      </c>
      <c r="Z18" s="8" t="s">
        <v>86</v>
      </c>
    </row>
    <row r="19" spans="1:26" x14ac:dyDescent="0.25">
      <c r="A19" t="s">
        <v>13</v>
      </c>
      <c r="B19" s="8" t="s">
        <v>16</v>
      </c>
      <c r="C19" s="8" t="s">
        <v>19</v>
      </c>
      <c r="D19" s="8" t="s">
        <v>22</v>
      </c>
      <c r="E19" s="8" t="s">
        <v>25</v>
      </c>
      <c r="F19" s="8" t="s">
        <v>28</v>
      </c>
      <c r="G19" s="8" t="s">
        <v>88</v>
      </c>
      <c r="H19" s="8" t="s">
        <v>33</v>
      </c>
      <c r="I19" s="8" t="s">
        <v>36</v>
      </c>
      <c r="J19" s="8" t="s">
        <v>39</v>
      </c>
      <c r="K19" s="8" t="s">
        <v>42</v>
      </c>
      <c r="L19" s="8" t="s">
        <v>45</v>
      </c>
      <c r="M19" s="8" t="s">
        <v>48</v>
      </c>
      <c r="N19" s="8" t="s">
        <v>51</v>
      </c>
      <c r="O19" s="8" t="s">
        <v>54</v>
      </c>
      <c r="P19" s="8" t="s">
        <v>57</v>
      </c>
      <c r="Q19" s="8" t="s">
        <v>60</v>
      </c>
      <c r="R19" s="8" t="s">
        <v>63</v>
      </c>
      <c r="S19" s="8" t="s">
        <v>66</v>
      </c>
      <c r="T19" s="8" t="s">
        <v>69</v>
      </c>
      <c r="U19" s="8" t="s">
        <v>72</v>
      </c>
      <c r="V19" s="8" t="s">
        <v>75</v>
      </c>
      <c r="W19" s="8" t="s">
        <v>78</v>
      </c>
      <c r="X19" s="8" t="s">
        <v>81</v>
      </c>
      <c r="Y19" s="8" t="s">
        <v>84</v>
      </c>
      <c r="Z19" s="8" t="s">
        <v>87</v>
      </c>
    </row>
    <row r="20" spans="1:26" x14ac:dyDescent="0.25">
      <c r="A20" s="5" t="s">
        <v>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x14ac:dyDescent="0.25">
      <c r="A21" t="s">
        <v>11</v>
      </c>
      <c r="B21" s="9">
        <v>100</v>
      </c>
      <c r="C21" s="8">
        <f>C17/B17*B21</f>
        <v>99.168306633423938</v>
      </c>
      <c r="D21" s="8">
        <f t="shared" ref="D21:Z23" si="5">D17/C17*C21</f>
        <v>98.963666067524557</v>
      </c>
      <c r="E21" s="8">
        <f t="shared" si="5"/>
        <v>109.14965023516609</v>
      </c>
      <c r="F21" s="8">
        <f t="shared" si="5"/>
        <v>108.56079700679064</v>
      </c>
      <c r="G21" s="8">
        <f t="shared" si="5"/>
        <v>108.56523088571846</v>
      </c>
      <c r="H21" s="8">
        <f t="shared" si="5"/>
        <v>109.26646589153367</v>
      </c>
      <c r="I21" s="8">
        <f t="shared" si="5"/>
        <v>111.18804080532884</v>
      </c>
      <c r="J21" s="8">
        <f t="shared" si="5"/>
        <v>112.53645160080083</v>
      </c>
      <c r="K21" s="8">
        <f t="shared" si="5"/>
        <v>112.90002967288206</v>
      </c>
      <c r="L21" s="8">
        <f t="shared" si="5"/>
        <v>114.2109230312725</v>
      </c>
      <c r="M21" s="8">
        <f t="shared" si="5"/>
        <v>115.30643219405384</v>
      </c>
      <c r="N21" s="8">
        <f t="shared" si="5"/>
        <v>116.56309580248094</v>
      </c>
      <c r="O21" s="8">
        <f t="shared" si="5"/>
        <v>116.90007060099525</v>
      </c>
      <c r="P21" s="8">
        <f t="shared" si="5"/>
        <v>118.01536168514687</v>
      </c>
      <c r="Q21" s="8">
        <f t="shared" si="5"/>
        <v>120.1194077702023</v>
      </c>
      <c r="R21" s="8">
        <f t="shared" si="5"/>
        <v>121.8313966377555</v>
      </c>
      <c r="S21" s="8">
        <f t="shared" si="5"/>
        <v>123.28587945988534</v>
      </c>
      <c r="T21" s="8">
        <f t="shared" si="5"/>
        <v>125.20080355528877</v>
      </c>
      <c r="U21" s="8">
        <f t="shared" si="5"/>
        <v>127.48919668345857</v>
      </c>
      <c r="V21" s="8">
        <f t="shared" si="5"/>
        <v>130.6901162017347</v>
      </c>
      <c r="W21" s="8">
        <f t="shared" si="5"/>
        <v>134.17122276148802</v>
      </c>
      <c r="X21" s="8">
        <f t="shared" si="5"/>
        <v>135.62246544132444</v>
      </c>
      <c r="Y21" s="8">
        <f t="shared" si="5"/>
        <v>136.20944279784581</v>
      </c>
      <c r="Z21" s="8">
        <f t="shared" si="5"/>
        <v>136.69034812770934</v>
      </c>
    </row>
    <row r="22" spans="1:26" x14ac:dyDescent="0.25">
      <c r="A22" t="s">
        <v>12</v>
      </c>
      <c r="B22" s="9">
        <v>100</v>
      </c>
      <c r="C22" s="8">
        <f t="shared" ref="C22:R23" si="6">C18/B18*B22</f>
        <v>103.3002733629133</v>
      </c>
      <c r="D22" s="8">
        <f t="shared" si="6"/>
        <v>105.78938692528538</v>
      </c>
      <c r="E22" s="8">
        <f t="shared" si="6"/>
        <v>108.58551863400965</v>
      </c>
      <c r="F22" s="8">
        <f t="shared" si="6"/>
        <v>112.48540461832219</v>
      </c>
      <c r="G22" s="8">
        <f t="shared" si="6"/>
        <v>117.00825583471847</v>
      </c>
      <c r="H22" s="8">
        <f t="shared" si="6"/>
        <v>122.89380056870475</v>
      </c>
      <c r="I22" s="8">
        <f t="shared" si="6"/>
        <v>130.68395675645974</v>
      </c>
      <c r="J22" s="8">
        <f t="shared" si="6"/>
        <v>137.12790362240202</v>
      </c>
      <c r="K22" s="8">
        <f t="shared" si="6"/>
        <v>141.39456296275947</v>
      </c>
      <c r="L22" s="8">
        <f t="shared" si="6"/>
        <v>146.06714562413288</v>
      </c>
      <c r="M22" s="8">
        <f t="shared" si="6"/>
        <v>150.67173097792494</v>
      </c>
      <c r="N22" s="8">
        <f t="shared" si="6"/>
        <v>155.33126365097468</v>
      </c>
      <c r="O22" s="8">
        <f t="shared" si="6"/>
        <v>158.63977911177662</v>
      </c>
      <c r="P22" s="8">
        <f t="shared" si="6"/>
        <v>160.72159567015126</v>
      </c>
      <c r="Q22" s="8">
        <f t="shared" si="6"/>
        <v>163.13378298556259</v>
      </c>
      <c r="R22" s="8">
        <f t="shared" si="6"/>
        <v>168.30020467876423</v>
      </c>
      <c r="S22" s="8">
        <f t="shared" si="5"/>
        <v>178.0107696745745</v>
      </c>
      <c r="T22" s="8">
        <f t="shared" si="5"/>
        <v>184.75830047941537</v>
      </c>
      <c r="U22" s="8">
        <f t="shared" si="5"/>
        <v>193.14669560558812</v>
      </c>
      <c r="V22" s="8">
        <f t="shared" si="5"/>
        <v>201.63399590642467</v>
      </c>
      <c r="W22" s="8">
        <f t="shared" si="5"/>
        <v>215.34541258568345</v>
      </c>
      <c r="X22" s="8">
        <f t="shared" si="5"/>
        <v>222.18910119922521</v>
      </c>
      <c r="Y22" s="8">
        <f t="shared" si="5"/>
        <v>228.49567976702335</v>
      </c>
      <c r="Z22" s="8">
        <f t="shared" si="5"/>
        <v>234.61887165679903</v>
      </c>
    </row>
    <row r="23" spans="1:26" x14ac:dyDescent="0.25">
      <c r="A23" t="s">
        <v>13</v>
      </c>
      <c r="B23" s="9">
        <v>100</v>
      </c>
      <c r="C23" s="8">
        <f t="shared" si="6"/>
        <v>97.858675780939507</v>
      </c>
      <c r="D23" s="8">
        <f t="shared" si="5"/>
        <v>96.839678880852077</v>
      </c>
      <c r="E23" s="8">
        <f t="shared" si="5"/>
        <v>93.019632779588264</v>
      </c>
      <c r="F23" s="8">
        <f t="shared" si="5"/>
        <v>94.35021063508465</v>
      </c>
      <c r="G23" s="8">
        <f t="shared" si="5"/>
        <v>95.844527462045946</v>
      </c>
      <c r="H23" s="8">
        <f t="shared" si="5"/>
        <v>96.914394722200143</v>
      </c>
      <c r="I23" s="8">
        <f t="shared" si="5"/>
        <v>99.651855973293053</v>
      </c>
      <c r="J23" s="8">
        <f t="shared" si="5"/>
        <v>102.35911294809632</v>
      </c>
      <c r="K23" s="8">
        <f t="shared" si="5"/>
        <v>106.09808441300372</v>
      </c>
      <c r="L23" s="8">
        <f t="shared" si="5"/>
        <v>111.58731420395834</v>
      </c>
      <c r="M23" s="8">
        <f t="shared" si="5"/>
        <v>118.23702408393608</v>
      </c>
      <c r="N23" s="8">
        <f t="shared" si="5"/>
        <v>125.41928304586278</v>
      </c>
      <c r="O23" s="8">
        <f t="shared" si="5"/>
        <v>134.54574358159127</v>
      </c>
      <c r="P23" s="8">
        <f t="shared" si="5"/>
        <v>142.85986805500357</v>
      </c>
      <c r="Q23" s="8">
        <f t="shared" si="5"/>
        <v>148.76877831650901</v>
      </c>
      <c r="R23" s="8">
        <f t="shared" si="5"/>
        <v>157.49940386296797</v>
      </c>
      <c r="S23" s="8">
        <f t="shared" si="5"/>
        <v>167.9500834591845</v>
      </c>
      <c r="T23" s="8">
        <f t="shared" si="5"/>
        <v>174.03862967967572</v>
      </c>
      <c r="U23" s="8">
        <f t="shared" si="5"/>
        <v>184.74843017248233</v>
      </c>
      <c r="V23" s="8">
        <f t="shared" si="5"/>
        <v>195.24839043001353</v>
      </c>
      <c r="W23" s="8">
        <f t="shared" si="5"/>
        <v>206.84683252523647</v>
      </c>
      <c r="X23" s="8">
        <f t="shared" si="5"/>
        <v>220.30045306414434</v>
      </c>
      <c r="Y23" s="8">
        <f t="shared" si="5"/>
        <v>234.90978459581905</v>
      </c>
      <c r="Z23" s="8">
        <f t="shared" si="5"/>
        <v>249.08989746443041</v>
      </c>
    </row>
    <row r="24" spans="1:26" x14ac:dyDescent="0.25">
      <c r="A24" s="5" t="s">
        <v>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5">
      <c r="A25" t="s">
        <v>11</v>
      </c>
      <c r="B25" s="7">
        <f>B17/(B17+B18+B19)</f>
        <v>0.73770180389058648</v>
      </c>
      <c r="C25" s="7">
        <f t="shared" ref="C25:Z25" si="7">C17/(C17+C18+C19)</f>
        <v>0.73287467516263927</v>
      </c>
      <c r="D25" s="7">
        <f t="shared" si="7"/>
        <v>0.72972259282219454</v>
      </c>
      <c r="E25" s="7">
        <f t="shared" si="7"/>
        <v>0.7471467510257922</v>
      </c>
      <c r="F25" s="7">
        <f t="shared" si="7"/>
        <v>0.74046924743840126</v>
      </c>
      <c r="G25" s="7">
        <f t="shared" si="7"/>
        <v>0.73405221915255725</v>
      </c>
      <c r="H25" s="7">
        <f t="shared" si="7"/>
        <v>0.72759027142179056</v>
      </c>
      <c r="I25" s="7">
        <f t="shared" si="7"/>
        <v>0.72047860996249535</v>
      </c>
      <c r="J25" s="7">
        <f t="shared" si="7"/>
        <v>0.71422680546265693</v>
      </c>
      <c r="K25" s="7">
        <f t="shared" si="7"/>
        <v>0.70833431410101411</v>
      </c>
      <c r="L25" s="7">
        <f t="shared" si="7"/>
        <v>0.70306166903740874</v>
      </c>
      <c r="M25" s="7">
        <f t="shared" si="7"/>
        <v>0.69713660021280632</v>
      </c>
      <c r="N25" s="7">
        <f t="shared" si="7"/>
        <v>0.69142405117710792</v>
      </c>
      <c r="O25" s="7">
        <f t="shared" si="7"/>
        <v>0.68474110004884625</v>
      </c>
      <c r="P25" s="7">
        <f t="shared" si="7"/>
        <v>0.68120251756567074</v>
      </c>
      <c r="Q25" s="7">
        <f t="shared" si="7"/>
        <v>0.68024537673266894</v>
      </c>
      <c r="R25" s="7">
        <f t="shared" si="7"/>
        <v>0.67491464513727628</v>
      </c>
      <c r="S25" s="7">
        <f t="shared" si="7"/>
        <v>0.66461260403231215</v>
      </c>
      <c r="T25" s="7">
        <f t="shared" si="7"/>
        <v>0.65984149495886379</v>
      </c>
      <c r="U25" s="7">
        <f t="shared" si="7"/>
        <v>0.65290760383051749</v>
      </c>
      <c r="V25" s="7">
        <f t="shared" si="7"/>
        <v>0.647948377801846</v>
      </c>
      <c r="W25" s="7">
        <f t="shared" si="7"/>
        <v>0.63943420899709769</v>
      </c>
      <c r="X25" s="7">
        <f t="shared" si="7"/>
        <v>0.63250344373431233</v>
      </c>
      <c r="Y25" s="7">
        <f t="shared" si="7"/>
        <v>0.62440801457194894</v>
      </c>
      <c r="Z25" s="7">
        <f t="shared" si="7"/>
        <v>0.61665531898524806</v>
      </c>
    </row>
    <row r="26" spans="1:26" x14ac:dyDescent="0.25">
      <c r="A26" t="s">
        <v>12</v>
      </c>
      <c r="B26" s="7">
        <f>B18/(B17+B18+B19)</f>
        <v>0.18316175887823896</v>
      </c>
      <c r="C26" s="7">
        <f t="shared" ref="C26:Z26" si="8">C18/(C17+C18+C19)</f>
        <v>0.18954496303596588</v>
      </c>
      <c r="D26" s="7">
        <f t="shared" si="8"/>
        <v>0.19367701258838338</v>
      </c>
      <c r="E26" s="7">
        <f t="shared" si="8"/>
        <v>0.18454803859196525</v>
      </c>
      <c r="F26" s="7">
        <f t="shared" si="8"/>
        <v>0.19049524436529694</v>
      </c>
      <c r="G26" s="7">
        <f t="shared" si="8"/>
        <v>0.19642947739337782</v>
      </c>
      <c r="H26" s="7">
        <f t="shared" si="8"/>
        <v>0.20318138770096592</v>
      </c>
      <c r="I26" s="7">
        <f t="shared" si="8"/>
        <v>0.21025157079807372</v>
      </c>
      <c r="J26" s="7">
        <f t="shared" si="8"/>
        <v>0.21608405686046586</v>
      </c>
      <c r="K26" s="7">
        <f t="shared" si="8"/>
        <v>0.22025759595652666</v>
      </c>
      <c r="L26" s="7">
        <f t="shared" si="8"/>
        <v>0.22325041859781541</v>
      </c>
      <c r="M26" s="7">
        <f t="shared" si="8"/>
        <v>0.2261778582445953</v>
      </c>
      <c r="N26" s="7">
        <f t="shared" si="8"/>
        <v>0.22876851037916499</v>
      </c>
      <c r="O26" s="7">
        <f t="shared" si="8"/>
        <v>0.23071598170414373</v>
      </c>
      <c r="P26" s="7">
        <f t="shared" si="8"/>
        <v>0.23033816253930006</v>
      </c>
      <c r="Q26" s="7">
        <f t="shared" si="8"/>
        <v>0.22937721940492667</v>
      </c>
      <c r="R26" s="7">
        <f t="shared" si="8"/>
        <v>0.23148786704480398</v>
      </c>
      <c r="S26" s="7">
        <f t="shared" si="8"/>
        <v>0.23826237884539186</v>
      </c>
      <c r="T26" s="7">
        <f t="shared" si="8"/>
        <v>0.24176332813850945</v>
      </c>
      <c r="U26" s="7">
        <f t="shared" si="8"/>
        <v>0.2455950358728925</v>
      </c>
      <c r="V26" s="7">
        <f t="shared" si="8"/>
        <v>0.24820777393643781</v>
      </c>
      <c r="W26" s="7">
        <f t="shared" si="8"/>
        <v>0.25481563597441198</v>
      </c>
      <c r="X26" s="7">
        <f t="shared" si="8"/>
        <v>0.25728115187743167</v>
      </c>
      <c r="Y26" s="7">
        <f t="shared" si="8"/>
        <v>0.26007176528530218</v>
      </c>
      <c r="Z26" s="7">
        <f t="shared" si="8"/>
        <v>0.26279768430365624</v>
      </c>
    </row>
    <row r="27" spans="1:26" x14ac:dyDescent="0.25">
      <c r="A27" t="s">
        <v>13</v>
      </c>
      <c r="B27" s="7">
        <f>B19/(B17+B18+B19)</f>
        <v>7.9136437231174514E-2</v>
      </c>
      <c r="C27" s="7">
        <f t="shared" ref="C27:Z27" si="9">C19/(C17+C18+C19)</f>
        <v>7.7580361801394881E-2</v>
      </c>
      <c r="D27" s="7">
        <f t="shared" si="9"/>
        <v>7.6600394589422041E-2</v>
      </c>
      <c r="E27" s="7">
        <f t="shared" si="9"/>
        <v>6.8305210382242562E-2</v>
      </c>
      <c r="F27" s="7">
        <f t="shared" si="9"/>
        <v>6.9035508196301804E-2</v>
      </c>
      <c r="G27" s="7">
        <f t="shared" si="9"/>
        <v>6.9518303454064942E-2</v>
      </c>
      <c r="H27" s="7">
        <f t="shared" si="9"/>
        <v>6.9228340877243583E-2</v>
      </c>
      <c r="I27" s="7">
        <f t="shared" si="9"/>
        <v>6.9269819239430958E-2</v>
      </c>
      <c r="J27" s="7">
        <f t="shared" si="9"/>
        <v>6.9689137676877219E-2</v>
      </c>
      <c r="K27" s="7">
        <f t="shared" si="9"/>
        <v>7.1408089942459257E-2</v>
      </c>
      <c r="L27" s="7">
        <f t="shared" si="9"/>
        <v>7.3687912364775843E-2</v>
      </c>
      <c r="M27" s="7">
        <f t="shared" si="9"/>
        <v>7.6685541542598379E-2</v>
      </c>
      <c r="N27" s="7">
        <f t="shared" si="9"/>
        <v>7.9807438443727133E-2</v>
      </c>
      <c r="O27" s="7">
        <f t="shared" si="9"/>
        <v>8.4542918247010046E-2</v>
      </c>
      <c r="P27" s="7">
        <f t="shared" si="9"/>
        <v>8.845931989502924E-2</v>
      </c>
      <c r="Q27" s="7">
        <f t="shared" si="9"/>
        <v>9.0377403862404379E-2</v>
      </c>
      <c r="R27" s="7">
        <f t="shared" si="9"/>
        <v>9.3597487817919697E-2</v>
      </c>
      <c r="S27" s="7">
        <f t="shared" si="9"/>
        <v>9.7125017122295945E-2</v>
      </c>
      <c r="T27" s="7">
        <f t="shared" si="9"/>
        <v>9.839517690262671E-2</v>
      </c>
      <c r="U27" s="7">
        <f t="shared" si="9"/>
        <v>0.10149736029659</v>
      </c>
      <c r="V27" s="7">
        <f t="shared" si="9"/>
        <v>0.10384384826171615</v>
      </c>
      <c r="W27" s="7">
        <f t="shared" si="9"/>
        <v>0.10575015502849029</v>
      </c>
      <c r="X27" s="7">
        <f t="shared" si="9"/>
        <v>0.11021540438825599</v>
      </c>
      <c r="Y27" s="7">
        <f t="shared" si="9"/>
        <v>0.11552022014274882</v>
      </c>
      <c r="Z27" s="7">
        <f t="shared" si="9"/>
        <v>0.12054699671109573</v>
      </c>
    </row>
    <row r="28" spans="1:26" x14ac:dyDescent="0.25">
      <c r="A28" s="1" t="s">
        <v>113</v>
      </c>
    </row>
    <row r="29" spans="1:26" x14ac:dyDescent="0.25">
      <c r="A29" s="10" t="s">
        <v>89</v>
      </c>
      <c r="B29" s="2">
        <v>82391</v>
      </c>
      <c r="C29" s="2">
        <v>80888</v>
      </c>
      <c r="D29" s="12" t="s">
        <v>114</v>
      </c>
      <c r="E29" s="12" t="s">
        <v>121</v>
      </c>
      <c r="F29" s="12" t="s">
        <v>129</v>
      </c>
      <c r="G29" s="12" t="s">
        <v>137</v>
      </c>
      <c r="H29" s="12" t="s">
        <v>145</v>
      </c>
      <c r="I29" s="12" t="s">
        <v>153</v>
      </c>
      <c r="J29" s="12" t="s">
        <v>161</v>
      </c>
      <c r="K29" s="12" t="s">
        <v>168</v>
      </c>
      <c r="L29" s="12" t="s">
        <v>175</v>
      </c>
      <c r="M29" s="12" t="s">
        <v>182</v>
      </c>
      <c r="N29" s="12" t="s">
        <v>189</v>
      </c>
      <c r="O29" s="12" t="s">
        <v>196</v>
      </c>
      <c r="P29" s="12" t="s">
        <v>203</v>
      </c>
      <c r="Q29" s="12" t="s">
        <v>210</v>
      </c>
      <c r="R29" s="12" t="s">
        <v>217</v>
      </c>
      <c r="S29" s="12" t="s">
        <v>224</v>
      </c>
      <c r="T29" s="12" t="s">
        <v>231</v>
      </c>
      <c r="U29" s="12" t="s">
        <v>238</v>
      </c>
      <c r="V29" s="12" t="s">
        <v>245</v>
      </c>
      <c r="W29" s="12" t="s">
        <v>252</v>
      </c>
      <c r="X29" s="12" t="s">
        <v>259</v>
      </c>
      <c r="Y29" s="12" t="s">
        <v>266</v>
      </c>
      <c r="Z29" s="12" t="s">
        <v>273</v>
      </c>
    </row>
    <row r="30" spans="1:26" x14ac:dyDescent="0.25">
      <c r="A30" s="10" t="s">
        <v>90</v>
      </c>
      <c r="B30" s="2">
        <v>996</v>
      </c>
      <c r="C30" s="2">
        <v>994</v>
      </c>
      <c r="D30" s="12" t="s">
        <v>91</v>
      </c>
      <c r="E30" s="12" t="s">
        <v>122</v>
      </c>
      <c r="F30" s="12" t="s">
        <v>130</v>
      </c>
      <c r="G30" s="12" t="s">
        <v>138</v>
      </c>
      <c r="H30" s="12" t="s">
        <v>146</v>
      </c>
      <c r="I30" s="12" t="s">
        <v>154</v>
      </c>
      <c r="J30" s="12" t="s">
        <v>92</v>
      </c>
      <c r="K30" s="12" t="s">
        <v>93</v>
      </c>
      <c r="L30" s="12" t="s">
        <v>94</v>
      </c>
      <c r="M30" s="12" t="s">
        <v>95</v>
      </c>
      <c r="N30" s="12" t="s">
        <v>96</v>
      </c>
      <c r="O30" s="12" t="s">
        <v>97</v>
      </c>
      <c r="P30" s="12" t="s">
        <v>98</v>
      </c>
      <c r="Q30" s="12" t="s">
        <v>99</v>
      </c>
      <c r="R30" s="12" t="s">
        <v>100</v>
      </c>
      <c r="S30" s="12" t="s">
        <v>101</v>
      </c>
      <c r="T30" s="12" t="s">
        <v>98</v>
      </c>
      <c r="U30" s="12" t="s">
        <v>100</v>
      </c>
      <c r="V30" s="12" t="s">
        <v>102</v>
      </c>
      <c r="W30" s="12" t="s">
        <v>103</v>
      </c>
      <c r="X30" s="12" t="s">
        <v>104</v>
      </c>
      <c r="Y30" s="12" t="s">
        <v>105</v>
      </c>
      <c r="Z30" s="12" t="s">
        <v>106</v>
      </c>
    </row>
    <row r="31" spans="1:26" x14ac:dyDescent="0.25">
      <c r="A31" s="10" t="s">
        <v>107</v>
      </c>
      <c r="B31" s="2">
        <v>161084</v>
      </c>
      <c r="C31" s="2">
        <v>158794</v>
      </c>
      <c r="D31" s="12" t="s">
        <v>115</v>
      </c>
      <c r="E31" s="12" t="s">
        <v>123</v>
      </c>
      <c r="F31" s="12" t="s">
        <v>131</v>
      </c>
      <c r="G31" s="12" t="s">
        <v>139</v>
      </c>
      <c r="H31" s="12" t="s">
        <v>147</v>
      </c>
      <c r="I31" s="12" t="s">
        <v>155</v>
      </c>
      <c r="J31" s="12" t="s">
        <v>162</v>
      </c>
      <c r="K31" s="12" t="s">
        <v>169</v>
      </c>
      <c r="L31" s="12" t="s">
        <v>176</v>
      </c>
      <c r="M31" s="12" t="s">
        <v>183</v>
      </c>
      <c r="N31" s="12" t="s">
        <v>190</v>
      </c>
      <c r="O31" s="12" t="s">
        <v>197</v>
      </c>
      <c r="P31" s="12" t="s">
        <v>204</v>
      </c>
      <c r="Q31" s="12" t="s">
        <v>211</v>
      </c>
      <c r="R31" s="12" t="s">
        <v>218</v>
      </c>
      <c r="S31" s="12" t="s">
        <v>225</v>
      </c>
      <c r="T31" s="12" t="s">
        <v>232</v>
      </c>
      <c r="U31" s="12" t="s">
        <v>239</v>
      </c>
      <c r="V31" s="12" t="s">
        <v>246</v>
      </c>
      <c r="W31" s="12" t="s">
        <v>253</v>
      </c>
      <c r="X31" s="12" t="s">
        <v>260</v>
      </c>
      <c r="Y31" s="12" t="s">
        <v>267</v>
      </c>
      <c r="Z31" s="12" t="s">
        <v>274</v>
      </c>
    </row>
    <row r="32" spans="1:26" x14ac:dyDescent="0.25">
      <c r="A32" s="10" t="s">
        <v>108</v>
      </c>
      <c r="B32" s="2">
        <v>324136</v>
      </c>
      <c r="C32" s="2">
        <v>323204</v>
      </c>
      <c r="D32" s="12" t="s">
        <v>116</v>
      </c>
      <c r="E32" s="12" t="s">
        <v>124</v>
      </c>
      <c r="F32" s="12" t="s">
        <v>132</v>
      </c>
      <c r="G32" s="12" t="s">
        <v>140</v>
      </c>
      <c r="H32" s="12" t="s">
        <v>148</v>
      </c>
      <c r="I32" s="12" t="s">
        <v>156</v>
      </c>
      <c r="J32" s="12" t="s">
        <v>163</v>
      </c>
      <c r="K32" s="12" t="s">
        <v>170</v>
      </c>
      <c r="L32" s="12" t="s">
        <v>177</v>
      </c>
      <c r="M32" s="12" t="s">
        <v>184</v>
      </c>
      <c r="N32" s="12" t="s">
        <v>191</v>
      </c>
      <c r="O32" s="12" t="s">
        <v>198</v>
      </c>
      <c r="P32" s="12" t="s">
        <v>205</v>
      </c>
      <c r="Q32" s="12" t="s">
        <v>212</v>
      </c>
      <c r="R32" s="12" t="s">
        <v>219</v>
      </c>
      <c r="S32" s="12" t="s">
        <v>226</v>
      </c>
      <c r="T32" s="12" t="s">
        <v>233</v>
      </c>
      <c r="U32" s="12" t="s">
        <v>240</v>
      </c>
      <c r="V32" s="12" t="s">
        <v>247</v>
      </c>
      <c r="W32" s="12" t="s">
        <v>254</v>
      </c>
      <c r="X32" s="12" t="s">
        <v>261</v>
      </c>
      <c r="Y32" s="12" t="s">
        <v>268</v>
      </c>
      <c r="Z32" s="12" t="s">
        <v>275</v>
      </c>
    </row>
    <row r="33" spans="1:26" x14ac:dyDescent="0.25">
      <c r="A33" s="10" t="s">
        <v>109</v>
      </c>
      <c r="B33" s="2">
        <v>154642</v>
      </c>
      <c r="C33" s="2">
        <v>158004</v>
      </c>
      <c r="D33" s="12" t="s">
        <v>117</v>
      </c>
      <c r="E33" s="12" t="s">
        <v>125</v>
      </c>
      <c r="F33" s="12" t="s">
        <v>133</v>
      </c>
      <c r="G33" s="12" t="s">
        <v>141</v>
      </c>
      <c r="H33" s="12" t="s">
        <v>149</v>
      </c>
      <c r="I33" s="12" t="s">
        <v>157</v>
      </c>
      <c r="J33" s="12" t="s">
        <v>164</v>
      </c>
      <c r="K33" s="12" t="s">
        <v>171</v>
      </c>
      <c r="L33" s="12" t="s">
        <v>178</v>
      </c>
      <c r="M33" s="12" t="s">
        <v>185</v>
      </c>
      <c r="N33" s="12" t="s">
        <v>192</v>
      </c>
      <c r="O33" s="12" t="s">
        <v>199</v>
      </c>
      <c r="P33" s="12" t="s">
        <v>206</v>
      </c>
      <c r="Q33" s="12" t="s">
        <v>213</v>
      </c>
      <c r="R33" s="12" t="s">
        <v>220</v>
      </c>
      <c r="S33" s="12" t="s">
        <v>227</v>
      </c>
      <c r="T33" s="12" t="s">
        <v>234</v>
      </c>
      <c r="U33" s="12" t="s">
        <v>241</v>
      </c>
      <c r="V33" s="12" t="s">
        <v>248</v>
      </c>
      <c r="W33" s="12" t="s">
        <v>255</v>
      </c>
      <c r="X33" s="12" t="s">
        <v>262</v>
      </c>
      <c r="Y33" s="12" t="s">
        <v>269</v>
      </c>
      <c r="Z33" s="12" t="s">
        <v>276</v>
      </c>
    </row>
    <row r="34" spans="1:26" x14ac:dyDescent="0.25">
      <c r="A34" s="10" t="s">
        <v>110</v>
      </c>
      <c r="B34" s="2">
        <v>69073</v>
      </c>
      <c r="C34" s="2">
        <v>68962</v>
      </c>
      <c r="D34" s="12" t="s">
        <v>118</v>
      </c>
      <c r="E34" s="12" t="s">
        <v>126</v>
      </c>
      <c r="F34" s="12" t="s">
        <v>134</v>
      </c>
      <c r="G34" s="12" t="s">
        <v>142</v>
      </c>
      <c r="H34" s="12" t="s">
        <v>150</v>
      </c>
      <c r="I34" s="12" t="s">
        <v>158</v>
      </c>
      <c r="J34" s="12" t="s">
        <v>165</v>
      </c>
      <c r="K34" s="12" t="s">
        <v>172</v>
      </c>
      <c r="L34" s="12" t="s">
        <v>179</v>
      </c>
      <c r="M34" s="12" t="s">
        <v>186</v>
      </c>
      <c r="N34" s="12" t="s">
        <v>193</v>
      </c>
      <c r="O34" s="12" t="s">
        <v>200</v>
      </c>
      <c r="P34" s="12" t="s">
        <v>207</v>
      </c>
      <c r="Q34" s="12" t="s">
        <v>214</v>
      </c>
      <c r="R34" s="12" t="s">
        <v>221</v>
      </c>
      <c r="S34" s="12" t="s">
        <v>228</v>
      </c>
      <c r="T34" s="12" t="s">
        <v>235</v>
      </c>
      <c r="U34" s="12" t="s">
        <v>242</v>
      </c>
      <c r="V34" s="12" t="s">
        <v>249</v>
      </c>
      <c r="W34" s="12" t="s">
        <v>256</v>
      </c>
      <c r="X34" s="12" t="s">
        <v>263</v>
      </c>
      <c r="Y34" s="12" t="s">
        <v>270</v>
      </c>
      <c r="Z34" s="12" t="s">
        <v>277</v>
      </c>
    </row>
    <row r="35" spans="1:26" x14ac:dyDescent="0.25">
      <c r="A35" s="10" t="s">
        <v>111</v>
      </c>
      <c r="B35" s="2">
        <v>2601</v>
      </c>
      <c r="C35" s="2">
        <v>2635</v>
      </c>
      <c r="D35" s="12" t="s">
        <v>119</v>
      </c>
      <c r="E35" s="12" t="s">
        <v>127</v>
      </c>
      <c r="F35" s="12" t="s">
        <v>135</v>
      </c>
      <c r="G35" s="12" t="s">
        <v>143</v>
      </c>
      <c r="H35" s="12" t="s">
        <v>151</v>
      </c>
      <c r="I35" s="12" t="s">
        <v>159</v>
      </c>
      <c r="J35" s="12" t="s">
        <v>166</v>
      </c>
      <c r="K35" s="12" t="s">
        <v>173</v>
      </c>
      <c r="L35" s="12" t="s">
        <v>180</v>
      </c>
      <c r="M35" s="12" t="s">
        <v>187</v>
      </c>
      <c r="N35" s="12" t="s">
        <v>194</v>
      </c>
      <c r="O35" s="12" t="s">
        <v>201</v>
      </c>
      <c r="P35" s="12" t="s">
        <v>208</v>
      </c>
      <c r="Q35" s="12" t="s">
        <v>215</v>
      </c>
      <c r="R35" s="12" t="s">
        <v>222</v>
      </c>
      <c r="S35" s="12" t="s">
        <v>229</v>
      </c>
      <c r="T35" s="12" t="s">
        <v>236</v>
      </c>
      <c r="U35" s="12" t="s">
        <v>243</v>
      </c>
      <c r="V35" s="12" t="s">
        <v>250</v>
      </c>
      <c r="W35" s="12" t="s">
        <v>257</v>
      </c>
      <c r="X35" s="12" t="s">
        <v>264</v>
      </c>
      <c r="Y35" s="12" t="s">
        <v>271</v>
      </c>
      <c r="Z35" s="12" t="s">
        <v>278</v>
      </c>
    </row>
    <row r="36" spans="1:26" x14ac:dyDescent="0.25">
      <c r="A36" s="11" t="s">
        <v>112</v>
      </c>
      <c r="B36" s="14">
        <v>794923</v>
      </c>
      <c r="C36" s="14">
        <v>793481</v>
      </c>
      <c r="D36" s="13" t="s">
        <v>120</v>
      </c>
      <c r="E36" s="13" t="s">
        <v>128</v>
      </c>
      <c r="F36" s="13" t="s">
        <v>136</v>
      </c>
      <c r="G36" s="13" t="s">
        <v>144</v>
      </c>
      <c r="H36" s="13" t="s">
        <v>152</v>
      </c>
      <c r="I36" s="13" t="s">
        <v>160</v>
      </c>
      <c r="J36" s="13" t="s">
        <v>167</v>
      </c>
      <c r="K36" s="13" t="s">
        <v>174</v>
      </c>
      <c r="L36" s="13" t="s">
        <v>181</v>
      </c>
      <c r="M36" s="13" t="s">
        <v>188</v>
      </c>
      <c r="N36" s="13" t="s">
        <v>195</v>
      </c>
      <c r="O36" s="13" t="s">
        <v>202</v>
      </c>
      <c r="P36" s="13" t="s">
        <v>209</v>
      </c>
      <c r="Q36" s="13" t="s">
        <v>216</v>
      </c>
      <c r="R36" s="13" t="s">
        <v>223</v>
      </c>
      <c r="S36" s="13" t="s">
        <v>230</v>
      </c>
      <c r="T36" s="13" t="s">
        <v>237</v>
      </c>
      <c r="U36" s="13" t="s">
        <v>244</v>
      </c>
      <c r="V36" s="13" t="s">
        <v>251</v>
      </c>
      <c r="W36" s="13" t="s">
        <v>258</v>
      </c>
      <c r="X36" s="13" t="s">
        <v>265</v>
      </c>
      <c r="Y36" s="13" t="s">
        <v>272</v>
      </c>
      <c r="Z36" s="13" t="s">
        <v>279</v>
      </c>
    </row>
    <row r="37" spans="1:26" x14ac:dyDescent="0.25">
      <c r="A37" s="5" t="s">
        <v>3</v>
      </c>
    </row>
    <row r="38" spans="1:26" x14ac:dyDescent="0.25">
      <c r="A38" s="10" t="s">
        <v>89</v>
      </c>
      <c r="B38" s="2">
        <v>100</v>
      </c>
      <c r="C38" s="4">
        <f>C29/B29*B38</f>
        <v>98.175771625541628</v>
      </c>
      <c r="D38" s="4">
        <f t="shared" ref="D38:Z45" si="10">D29/C29*C38</f>
        <v>96.525105897488814</v>
      </c>
      <c r="E38" s="4">
        <f t="shared" si="10"/>
        <v>108.84562634268308</v>
      </c>
      <c r="F38" s="4">
        <f t="shared" si="10"/>
        <v>107.13427437462832</v>
      </c>
      <c r="G38" s="4">
        <f t="shared" si="10"/>
        <v>105.88171038098824</v>
      </c>
      <c r="H38" s="4">
        <f t="shared" si="10"/>
        <v>105.07822456336253</v>
      </c>
      <c r="I38" s="4">
        <f t="shared" si="10"/>
        <v>104.01257418892843</v>
      </c>
      <c r="J38" s="4">
        <f t="shared" si="10"/>
        <v>103.71399788811888</v>
      </c>
      <c r="K38" s="4">
        <f t="shared" si="10"/>
        <v>98.227961791943329</v>
      </c>
      <c r="L38" s="4">
        <f t="shared" si="10"/>
        <v>96.979038972703364</v>
      </c>
      <c r="M38" s="4">
        <f t="shared" si="10"/>
        <v>96.373390297483994</v>
      </c>
      <c r="N38" s="4">
        <f t="shared" si="10"/>
        <v>95.556553507057856</v>
      </c>
      <c r="O38" s="4">
        <f t="shared" si="10"/>
        <v>95.978929737471361</v>
      </c>
      <c r="P38" s="4">
        <f t="shared" si="10"/>
        <v>97.863844351931675</v>
      </c>
      <c r="Q38" s="4">
        <f t="shared" si="10"/>
        <v>102.21383403527089</v>
      </c>
      <c r="R38" s="4">
        <f t="shared" si="10"/>
        <v>107.61369567064368</v>
      </c>
      <c r="S38" s="4">
        <f t="shared" si="10"/>
        <v>111.3580366787635</v>
      </c>
      <c r="T38" s="4">
        <f t="shared" si="10"/>
        <v>117.31621172215416</v>
      </c>
      <c r="U38" s="4">
        <f t="shared" si="10"/>
        <v>119.43537522302199</v>
      </c>
      <c r="V38" s="4">
        <f t="shared" si="10"/>
        <v>123.22826522314337</v>
      </c>
      <c r="W38" s="4">
        <f t="shared" si="10"/>
        <v>121.91622871430138</v>
      </c>
      <c r="X38" s="4">
        <f t="shared" si="10"/>
        <v>121.16736051267742</v>
      </c>
      <c r="Y38" s="4">
        <f t="shared" si="10"/>
        <v>120.46704130305501</v>
      </c>
      <c r="Z38" s="4">
        <f t="shared" si="10"/>
        <v>119.44872619582243</v>
      </c>
    </row>
    <row r="39" spans="1:26" x14ac:dyDescent="0.25">
      <c r="A39" s="10" t="s">
        <v>90</v>
      </c>
      <c r="B39" s="2">
        <v>100</v>
      </c>
      <c r="C39" s="4">
        <f t="shared" ref="C39:R45" si="11">C30/B30*B39</f>
        <v>99.799196787148588</v>
      </c>
      <c r="D39" s="4">
        <f t="shared" si="11"/>
        <v>98.594377510040161</v>
      </c>
      <c r="E39" s="4">
        <f t="shared" si="11"/>
        <v>166.46586345381527</v>
      </c>
      <c r="F39" s="4">
        <f t="shared" si="11"/>
        <v>153.01204819277109</v>
      </c>
      <c r="G39" s="4">
        <f t="shared" si="11"/>
        <v>136.04417670682733</v>
      </c>
      <c r="H39" s="4">
        <f t="shared" si="11"/>
        <v>123.49397590361448</v>
      </c>
      <c r="I39" s="4">
        <f t="shared" si="11"/>
        <v>114.55823293172693</v>
      </c>
      <c r="J39" s="4">
        <f t="shared" si="11"/>
        <v>73.995983935742998</v>
      </c>
      <c r="K39" s="4">
        <f t="shared" si="11"/>
        <v>70.381526104417702</v>
      </c>
      <c r="L39" s="4">
        <f t="shared" si="11"/>
        <v>66.767068273092391</v>
      </c>
      <c r="M39" s="4">
        <f t="shared" si="11"/>
        <v>64.959839357429743</v>
      </c>
      <c r="N39" s="4">
        <f t="shared" si="11"/>
        <v>62.248995983935764</v>
      </c>
      <c r="O39" s="4">
        <f t="shared" si="11"/>
        <v>59.538152610441784</v>
      </c>
      <c r="P39" s="4">
        <f t="shared" si="11"/>
        <v>56.6265060240964</v>
      </c>
      <c r="Q39" s="4">
        <f t="shared" si="11"/>
        <v>58.534136546184754</v>
      </c>
      <c r="R39" s="4">
        <f t="shared" si="11"/>
        <v>55.522088353413672</v>
      </c>
      <c r="S39" s="4">
        <f t="shared" si="10"/>
        <v>57.128514056224915</v>
      </c>
      <c r="T39" s="4">
        <f t="shared" si="10"/>
        <v>56.6265060240964</v>
      </c>
      <c r="U39" s="4">
        <f t="shared" si="10"/>
        <v>55.522088353413672</v>
      </c>
      <c r="V39" s="4">
        <f t="shared" si="10"/>
        <v>54.618473895582341</v>
      </c>
      <c r="W39" s="4">
        <f t="shared" si="10"/>
        <v>52.911646586345391</v>
      </c>
      <c r="X39" s="4">
        <f t="shared" si="10"/>
        <v>53.012048192771097</v>
      </c>
      <c r="Y39" s="4">
        <f t="shared" si="10"/>
        <v>51.405622489959853</v>
      </c>
      <c r="Z39" s="4">
        <f t="shared" si="10"/>
        <v>49.79919678714861</v>
      </c>
    </row>
    <row r="40" spans="1:26" x14ac:dyDescent="0.25">
      <c r="A40" s="10" t="s">
        <v>107</v>
      </c>
      <c r="B40" s="2">
        <v>100</v>
      </c>
      <c r="C40" s="4">
        <f t="shared" si="11"/>
        <v>98.578381465570757</v>
      </c>
      <c r="D40" s="4">
        <f t="shared" si="10"/>
        <v>99.160686349978903</v>
      </c>
      <c r="E40" s="4">
        <f t="shared" si="10"/>
        <v>106.51150952298181</v>
      </c>
      <c r="F40" s="4">
        <f t="shared" si="10"/>
        <v>106.6580169352636</v>
      </c>
      <c r="G40" s="4">
        <f t="shared" si="10"/>
        <v>107.89836358670013</v>
      </c>
      <c r="H40" s="4">
        <f t="shared" si="10"/>
        <v>111.93538774800729</v>
      </c>
      <c r="I40" s="4">
        <f t="shared" si="10"/>
        <v>116.95637058925783</v>
      </c>
      <c r="J40" s="4">
        <f t="shared" si="10"/>
        <v>119.45072136276731</v>
      </c>
      <c r="K40" s="4">
        <f t="shared" si="10"/>
        <v>117.98254326935022</v>
      </c>
      <c r="L40" s="4">
        <f t="shared" si="10"/>
        <v>126.74939782970381</v>
      </c>
      <c r="M40" s="4">
        <f t="shared" si="10"/>
        <v>129.99615107645704</v>
      </c>
      <c r="N40" s="4">
        <f t="shared" si="10"/>
        <v>133.56695885376578</v>
      </c>
      <c r="O40" s="4">
        <f t="shared" si="10"/>
        <v>135.17667800650597</v>
      </c>
      <c r="P40" s="4">
        <f t="shared" si="10"/>
        <v>137.51520945593609</v>
      </c>
      <c r="Q40" s="4">
        <f t="shared" si="10"/>
        <v>137.54562836780815</v>
      </c>
      <c r="R40" s="4">
        <f t="shared" si="10"/>
        <v>145.41108986615686</v>
      </c>
      <c r="S40" s="4">
        <f t="shared" si="10"/>
        <v>151.04417570956775</v>
      </c>
      <c r="T40" s="4">
        <f t="shared" si="10"/>
        <v>156.32216731643126</v>
      </c>
      <c r="U40" s="4">
        <f t="shared" si="10"/>
        <v>164.0075985200269</v>
      </c>
      <c r="V40" s="4">
        <f t="shared" si="10"/>
        <v>171.51175784062983</v>
      </c>
      <c r="W40" s="4">
        <f t="shared" si="10"/>
        <v>181.34948225770415</v>
      </c>
      <c r="X40" s="4">
        <f t="shared" si="10"/>
        <v>187.43078145563817</v>
      </c>
      <c r="Y40" s="4">
        <f t="shared" si="10"/>
        <v>190.51116187827483</v>
      </c>
      <c r="Z40" s="4">
        <f t="shared" si="10"/>
        <v>192.32450150232191</v>
      </c>
    </row>
    <row r="41" spans="1:26" x14ac:dyDescent="0.25">
      <c r="A41" s="10" t="s">
        <v>108</v>
      </c>
      <c r="B41" s="2">
        <v>100</v>
      </c>
      <c r="C41" s="4">
        <f t="shared" si="11"/>
        <v>99.712466372140085</v>
      </c>
      <c r="D41" s="4">
        <f t="shared" si="10"/>
        <v>99.467815978478171</v>
      </c>
      <c r="E41" s="4">
        <f t="shared" si="10"/>
        <v>106.36214428511489</v>
      </c>
      <c r="F41" s="4">
        <f t="shared" si="10"/>
        <v>105.85772638645508</v>
      </c>
      <c r="G41" s="4">
        <f t="shared" si="10"/>
        <v>105.38847891008714</v>
      </c>
      <c r="H41" s="4">
        <f t="shared" si="10"/>
        <v>104.67581508996226</v>
      </c>
      <c r="I41" s="4">
        <f t="shared" si="10"/>
        <v>105.83366241330802</v>
      </c>
      <c r="J41" s="4">
        <f t="shared" si="10"/>
        <v>106.44112347903352</v>
      </c>
      <c r="K41" s="4">
        <f t="shared" si="10"/>
        <v>104.9482316064862</v>
      </c>
      <c r="L41" s="4">
        <f t="shared" si="10"/>
        <v>105.09477503270237</v>
      </c>
      <c r="M41" s="4">
        <f t="shared" si="10"/>
        <v>104.33120665399714</v>
      </c>
      <c r="N41" s="4">
        <f t="shared" si="10"/>
        <v>104.07976898585784</v>
      </c>
      <c r="O41" s="4">
        <f t="shared" si="10"/>
        <v>103.5080953673767</v>
      </c>
      <c r="P41" s="4">
        <f t="shared" si="10"/>
        <v>102.88860231507766</v>
      </c>
      <c r="Q41" s="4">
        <f t="shared" si="10"/>
        <v>102.18889601895505</v>
      </c>
      <c r="R41" s="4">
        <f t="shared" si="10"/>
        <v>101.51541328331322</v>
      </c>
      <c r="S41" s="4">
        <f t="shared" si="10"/>
        <v>101.82207468470028</v>
      </c>
      <c r="T41" s="4">
        <f t="shared" si="10"/>
        <v>100.91134585482641</v>
      </c>
      <c r="U41" s="4">
        <f t="shared" si="10"/>
        <v>101.76777648888124</v>
      </c>
      <c r="V41" s="4">
        <f t="shared" si="10"/>
        <v>102.87564479107537</v>
      </c>
      <c r="W41" s="4">
        <f t="shared" si="10"/>
        <v>104.7301132857813</v>
      </c>
      <c r="X41" s="4">
        <f t="shared" si="10"/>
        <v>104.46880321840217</v>
      </c>
      <c r="Y41" s="4">
        <f t="shared" si="10"/>
        <v>103.85702297800925</v>
      </c>
      <c r="Z41" s="4">
        <f t="shared" si="10"/>
        <v>103.79562899523658</v>
      </c>
    </row>
    <row r="42" spans="1:26" x14ac:dyDescent="0.25">
      <c r="A42" s="10" t="s">
        <v>109</v>
      </c>
      <c r="B42" s="2">
        <v>100</v>
      </c>
      <c r="C42" s="4">
        <f t="shared" si="11"/>
        <v>102.17405362062053</v>
      </c>
      <c r="D42" s="4">
        <f t="shared" si="10"/>
        <v>104.18644352763155</v>
      </c>
      <c r="E42" s="4">
        <f t="shared" si="10"/>
        <v>111.65207382211818</v>
      </c>
      <c r="F42" s="4">
        <f t="shared" si="10"/>
        <v>115.03472536568333</v>
      </c>
      <c r="G42" s="4">
        <f t="shared" si="10"/>
        <v>119.25738156516341</v>
      </c>
      <c r="H42" s="4">
        <f t="shared" si="10"/>
        <v>124.37048149920462</v>
      </c>
      <c r="I42" s="4">
        <f t="shared" si="10"/>
        <v>131.06077262322006</v>
      </c>
      <c r="J42" s="4">
        <f t="shared" si="10"/>
        <v>137.67669843897517</v>
      </c>
      <c r="K42" s="4">
        <f t="shared" si="10"/>
        <v>147.52913180119242</v>
      </c>
      <c r="L42" s="4">
        <f t="shared" si="10"/>
        <v>155.96991761617153</v>
      </c>
      <c r="M42" s="4">
        <f t="shared" si="10"/>
        <v>162.61041631639529</v>
      </c>
      <c r="N42" s="4">
        <f t="shared" si="10"/>
        <v>170.55457120316601</v>
      </c>
      <c r="O42" s="4">
        <f t="shared" si="10"/>
        <v>177.45502515487382</v>
      </c>
      <c r="P42" s="4">
        <f t="shared" si="10"/>
        <v>184.95363484693678</v>
      </c>
      <c r="Q42" s="4">
        <f t="shared" si="10"/>
        <v>190.87893327815209</v>
      </c>
      <c r="R42" s="4">
        <f t="shared" si="10"/>
        <v>203.29147320908933</v>
      </c>
      <c r="S42" s="4">
        <f t="shared" si="10"/>
        <v>212.92016399167102</v>
      </c>
      <c r="T42" s="4">
        <f t="shared" si="10"/>
        <v>221.11457430710928</v>
      </c>
      <c r="U42" s="4">
        <f t="shared" si="10"/>
        <v>232.44526066657178</v>
      </c>
      <c r="V42" s="4">
        <f t="shared" si="10"/>
        <v>242.11921728896417</v>
      </c>
      <c r="W42" s="4">
        <f t="shared" si="10"/>
        <v>254.70312075632748</v>
      </c>
      <c r="X42" s="4">
        <f t="shared" si="10"/>
        <v>266.34872802990128</v>
      </c>
      <c r="Y42" s="4">
        <f t="shared" si="10"/>
        <v>276.84910955626538</v>
      </c>
      <c r="Z42" s="4">
        <f t="shared" si="10"/>
        <v>286.78496139470514</v>
      </c>
    </row>
    <row r="43" spans="1:26" x14ac:dyDescent="0.25">
      <c r="A43" s="10" t="s">
        <v>110</v>
      </c>
      <c r="B43" s="2">
        <v>100</v>
      </c>
      <c r="C43" s="4">
        <f t="shared" si="11"/>
        <v>99.839300450248288</v>
      </c>
      <c r="D43" s="4">
        <f t="shared" si="10"/>
        <v>100.12450595746529</v>
      </c>
      <c r="E43" s="4">
        <f t="shared" si="10"/>
        <v>106.93034905100401</v>
      </c>
      <c r="F43" s="4">
        <f t="shared" si="10"/>
        <v>107.66145961518974</v>
      </c>
      <c r="G43" s="4">
        <f t="shared" si="10"/>
        <v>109.66368914047459</v>
      </c>
      <c r="H43" s="4">
        <f t="shared" si="10"/>
        <v>112.03654105077239</v>
      </c>
      <c r="I43" s="4">
        <f t="shared" si="10"/>
        <v>115.79922690486877</v>
      </c>
      <c r="J43" s="4">
        <f t="shared" si="10"/>
        <v>119.88475960216005</v>
      </c>
      <c r="K43" s="4">
        <f t="shared" si="10"/>
        <v>121.55835130948419</v>
      </c>
      <c r="L43" s="4">
        <f t="shared" si="10"/>
        <v>112.04522751292114</v>
      </c>
      <c r="M43" s="4">
        <f t="shared" si="10"/>
        <v>113.21500441561828</v>
      </c>
      <c r="N43" s="4">
        <f t="shared" si="10"/>
        <v>114.54258538068423</v>
      </c>
      <c r="O43" s="4">
        <f t="shared" si="10"/>
        <v>115.66024351048894</v>
      </c>
      <c r="P43" s="4">
        <f t="shared" si="10"/>
        <v>115.72104874553013</v>
      </c>
      <c r="Q43" s="4">
        <f t="shared" si="10"/>
        <v>123.22180881096814</v>
      </c>
      <c r="R43" s="4">
        <f t="shared" si="10"/>
        <v>116.30738494057016</v>
      </c>
      <c r="S43" s="4">
        <f t="shared" si="10"/>
        <v>117.63786139301902</v>
      </c>
      <c r="T43" s="4">
        <f t="shared" si="10"/>
        <v>118.04757285770131</v>
      </c>
      <c r="U43" s="4">
        <f t="shared" si="10"/>
        <v>121.3469807305315</v>
      </c>
      <c r="V43" s="4">
        <f t="shared" si="10"/>
        <v>123.13204870209782</v>
      </c>
      <c r="W43" s="4">
        <f t="shared" si="10"/>
        <v>125.6598091873815</v>
      </c>
      <c r="X43" s="4">
        <f t="shared" si="10"/>
        <v>126.76878085503745</v>
      </c>
      <c r="Y43" s="4">
        <f t="shared" si="10"/>
        <v>126.84551127068465</v>
      </c>
      <c r="Z43" s="4">
        <f t="shared" si="10"/>
        <v>127.89078221591652</v>
      </c>
    </row>
    <row r="44" spans="1:26" x14ac:dyDescent="0.25">
      <c r="A44" s="10" t="s">
        <v>111</v>
      </c>
      <c r="B44" s="2">
        <v>100</v>
      </c>
      <c r="C44" s="4">
        <f t="shared" si="11"/>
        <v>101.30718954248366</v>
      </c>
      <c r="D44" s="4">
        <f t="shared" si="10"/>
        <v>89.542483660130713</v>
      </c>
      <c r="E44" s="4">
        <f t="shared" si="10"/>
        <v>94.809688581314873</v>
      </c>
      <c r="F44" s="4">
        <f t="shared" si="10"/>
        <v>105.15186466743559</v>
      </c>
      <c r="G44" s="4">
        <f t="shared" si="10"/>
        <v>119.0695886197616</v>
      </c>
      <c r="H44" s="4">
        <f t="shared" si="10"/>
        <v>134.5251826220684</v>
      </c>
      <c r="I44" s="4">
        <f t="shared" si="10"/>
        <v>154.24836601307186</v>
      </c>
      <c r="J44" s="4">
        <f t="shared" si="10"/>
        <v>177.39331026528254</v>
      </c>
      <c r="K44" s="4">
        <f t="shared" si="10"/>
        <v>410.53440984236823</v>
      </c>
      <c r="L44" s="4">
        <f t="shared" si="10"/>
        <v>330.91118800461356</v>
      </c>
      <c r="M44" s="4">
        <f t="shared" si="10"/>
        <v>484.5444059976931</v>
      </c>
      <c r="N44" s="4">
        <f t="shared" si="10"/>
        <v>531.91080353710095</v>
      </c>
      <c r="O44" s="4">
        <f t="shared" si="10"/>
        <v>533.06420607458654</v>
      </c>
      <c r="P44" s="4">
        <f t="shared" si="10"/>
        <v>528.45059592464418</v>
      </c>
      <c r="Q44" s="4">
        <f t="shared" si="10"/>
        <v>676.0476739715491</v>
      </c>
      <c r="R44" s="4">
        <f t="shared" si="10"/>
        <v>434.90965013456344</v>
      </c>
      <c r="S44" s="4">
        <f t="shared" si="10"/>
        <v>445.02114571318708</v>
      </c>
      <c r="T44" s="4">
        <f t="shared" si="10"/>
        <v>501.69165705497869</v>
      </c>
      <c r="U44" s="4">
        <f t="shared" si="10"/>
        <v>335.48635140330629</v>
      </c>
      <c r="V44" s="4">
        <f t="shared" si="10"/>
        <v>440.98423683198752</v>
      </c>
      <c r="W44" s="4">
        <f t="shared" si="10"/>
        <v>660.36139946174524</v>
      </c>
      <c r="X44" s="4">
        <f t="shared" si="10"/>
        <v>653.78700499807735</v>
      </c>
      <c r="Y44" s="4">
        <f t="shared" si="10"/>
        <v>774.39446366781965</v>
      </c>
      <c r="Z44" s="4">
        <f t="shared" si="10"/>
        <v>878.23913879277154</v>
      </c>
    </row>
    <row r="45" spans="1:26" x14ac:dyDescent="0.25">
      <c r="A45" s="11" t="s">
        <v>112</v>
      </c>
      <c r="B45" s="2">
        <v>100</v>
      </c>
      <c r="C45" s="4">
        <f t="shared" si="11"/>
        <v>99.818598782523594</v>
      </c>
      <c r="D45" s="4">
        <f t="shared" si="10"/>
        <v>100.04201664815335</v>
      </c>
      <c r="E45" s="4">
        <f t="shared" si="10"/>
        <v>107.76578360419816</v>
      </c>
      <c r="F45" s="4">
        <f t="shared" si="10"/>
        <v>108.15097814505307</v>
      </c>
      <c r="G45" s="4">
        <f t="shared" si="10"/>
        <v>109.10088146902282</v>
      </c>
      <c r="H45" s="4">
        <f t="shared" si="10"/>
        <v>110.78079260506996</v>
      </c>
      <c r="I45" s="4">
        <f t="shared" si="10"/>
        <v>113.84171800287579</v>
      </c>
      <c r="J45" s="4">
        <f t="shared" si="10"/>
        <v>116.23088022361918</v>
      </c>
      <c r="K45" s="4">
        <f t="shared" si="10"/>
        <v>117.57641935130829</v>
      </c>
      <c r="L45" s="4">
        <f t="shared" si="10"/>
        <v>119.83361910524673</v>
      </c>
      <c r="M45" s="4">
        <f t="shared" si="10"/>
        <v>122.011314303398</v>
      </c>
      <c r="N45" s="4">
        <f t="shared" si="10"/>
        <v>124.36009525450899</v>
      </c>
      <c r="O45" s="4">
        <f t="shared" si="10"/>
        <v>125.93685174538925</v>
      </c>
      <c r="P45" s="4">
        <f t="shared" si="10"/>
        <v>127.79879309065163</v>
      </c>
      <c r="Q45" s="4">
        <f t="shared" si="10"/>
        <v>130.26028936135961</v>
      </c>
      <c r="R45" s="4">
        <f t="shared" si="10"/>
        <v>133.16031867237464</v>
      </c>
      <c r="S45" s="4">
        <f t="shared" si="10"/>
        <v>136.8387881593564</v>
      </c>
      <c r="T45" s="4">
        <f t="shared" si="10"/>
        <v>139.96902844678047</v>
      </c>
      <c r="U45" s="4">
        <f t="shared" si="10"/>
        <v>144.0409951655696</v>
      </c>
      <c r="V45" s="4">
        <f t="shared" si="10"/>
        <v>148.78761842341976</v>
      </c>
      <c r="W45" s="4">
        <f t="shared" si="10"/>
        <v>154.78467725804904</v>
      </c>
      <c r="X45" s="4">
        <f t="shared" si="10"/>
        <v>158.1733073517814</v>
      </c>
      <c r="Y45" s="4">
        <f t="shared" si="10"/>
        <v>160.91747250991622</v>
      </c>
      <c r="Z45" s="4">
        <f t="shared" si="10"/>
        <v>163.51583738299198</v>
      </c>
    </row>
    <row r="46" spans="1:26" x14ac:dyDescent="0.25">
      <c r="A46" s="15" t="s">
        <v>9</v>
      </c>
    </row>
    <row r="47" spans="1:26" x14ac:dyDescent="0.25">
      <c r="A47" s="10" t="s">
        <v>281</v>
      </c>
      <c r="B47" s="7">
        <f>(B29+B30)/B$36</f>
        <v>0.104899468250384</v>
      </c>
      <c r="C47" s="7">
        <f t="shared" ref="C47:Z47" si="12">(C29+C30)/C$36</f>
        <v>0.10319339719539598</v>
      </c>
      <c r="D47" s="7">
        <f t="shared" si="12"/>
        <v>0.10123771309149118</v>
      </c>
      <c r="E47" s="7">
        <f t="shared" si="12"/>
        <v>0.10662051817826312</v>
      </c>
      <c r="F47" s="7">
        <f t="shared" si="12"/>
        <v>0.104444834753762</v>
      </c>
      <c r="G47" s="7">
        <f t="shared" si="12"/>
        <v>0.10215066161786207</v>
      </c>
      <c r="H47" s="7">
        <f t="shared" si="12"/>
        <v>9.9707933710490998E-2</v>
      </c>
      <c r="I47" s="7">
        <f t="shared" si="12"/>
        <v>9.5958468607244121E-2</v>
      </c>
      <c r="J47" s="7">
        <f t="shared" si="12"/>
        <v>9.3282507852190499E-2</v>
      </c>
      <c r="K47" s="7">
        <f t="shared" si="12"/>
        <v>8.7340393434063524E-2</v>
      </c>
      <c r="L47" s="7">
        <f t="shared" si="12"/>
        <v>8.4577229328616346E-2</v>
      </c>
      <c r="M47" s="7">
        <f t="shared" si="12"/>
        <v>8.2534622268779334E-2</v>
      </c>
      <c r="N47" s="7">
        <f t="shared" si="12"/>
        <v>8.0267700621202198E-2</v>
      </c>
      <c r="O47" s="7">
        <f t="shared" si="12"/>
        <v>7.9583378700051249E-2</v>
      </c>
      <c r="P47" s="7">
        <f t="shared" si="12"/>
        <v>7.9924047792011441E-2</v>
      </c>
      <c r="Q47" s="7">
        <f t="shared" si="12"/>
        <v>8.1893325633118907E-2</v>
      </c>
      <c r="R47" s="7">
        <f t="shared" si="12"/>
        <v>8.4284502353281276E-2</v>
      </c>
      <c r="S47" s="7">
        <f t="shared" si="12"/>
        <v>8.4869590158885719E-2</v>
      </c>
      <c r="T47" s="7">
        <f t="shared" si="12"/>
        <v>8.737909451883169E-2</v>
      </c>
      <c r="U47" s="7">
        <f t="shared" si="12"/>
        <v>8.6424195316218561E-2</v>
      </c>
      <c r="V47" s="7">
        <f t="shared" si="12"/>
        <v>8.6301635091866641E-2</v>
      </c>
      <c r="W47" s="7">
        <f t="shared" si="12"/>
        <v>8.2065540275304591E-2</v>
      </c>
      <c r="X47" s="7">
        <f t="shared" si="12"/>
        <v>7.9817490034644126E-2</v>
      </c>
      <c r="Y47" s="7">
        <f t="shared" si="12"/>
        <v>7.7992760930916144E-2</v>
      </c>
      <c r="Z47" s="7">
        <f t="shared" si="12"/>
        <v>7.6095628257650066E-2</v>
      </c>
    </row>
    <row r="48" spans="1:26" x14ac:dyDescent="0.25">
      <c r="A48" s="10" t="s">
        <v>107</v>
      </c>
      <c r="B48" s="7">
        <f t="shared" ref="B48:Z48" si="13">B31/B$36</f>
        <v>0.20264101051296793</v>
      </c>
      <c r="C48" s="7">
        <f t="shared" si="13"/>
        <v>0.20012325436903972</v>
      </c>
      <c r="D48" s="7">
        <f t="shared" si="13"/>
        <v>0.20085582396634044</v>
      </c>
      <c r="E48" s="7">
        <f t="shared" si="13"/>
        <v>0.20028249411956972</v>
      </c>
      <c r="F48" s="7">
        <f t="shared" si="13"/>
        <v>0.19984366948658686</v>
      </c>
      <c r="G48" s="7">
        <f t="shared" si="13"/>
        <v>0.20040748649782997</v>
      </c>
      <c r="H48" s="7">
        <f t="shared" si="13"/>
        <v>0.20475300412662867</v>
      </c>
      <c r="I48" s="7">
        <f t="shared" si="13"/>
        <v>0.20818516742287455</v>
      </c>
      <c r="J48" s="7">
        <f t="shared" si="13"/>
        <v>0.20825459496550663</v>
      </c>
      <c r="K48" s="7">
        <f t="shared" si="13"/>
        <v>0.20334095835624763</v>
      </c>
      <c r="L48" s="7">
        <f t="shared" si="13"/>
        <v>0.21433572857015384</v>
      </c>
      <c r="M48" s="7">
        <f t="shared" si="13"/>
        <v>0.21590252975576762</v>
      </c>
      <c r="N48" s="7">
        <f t="shared" si="13"/>
        <v>0.21764331603219611</v>
      </c>
      <c r="O48" s="7">
        <f t="shared" si="13"/>
        <v>0.21750852311604923</v>
      </c>
      <c r="P48" s="7">
        <f t="shared" si="13"/>
        <v>0.21804760695421407</v>
      </c>
      <c r="Q48" s="7">
        <f t="shared" si="13"/>
        <v>0.21397453714210662</v>
      </c>
      <c r="R48" s="7">
        <f t="shared" si="13"/>
        <v>0.22128401677055365</v>
      </c>
      <c r="S48" s="7">
        <f t="shared" si="13"/>
        <v>0.22367740031606151</v>
      </c>
      <c r="T48" s="7">
        <f t="shared" si="13"/>
        <v>0.22631636657121851</v>
      </c>
      <c r="U48" s="7">
        <f t="shared" si="13"/>
        <v>0.2307306017825094</v>
      </c>
      <c r="V48" s="7">
        <f t="shared" si="13"/>
        <v>0.23359010845091976</v>
      </c>
      <c r="W48" s="7">
        <f t="shared" si="13"/>
        <v>0.23741912307921123</v>
      </c>
      <c r="X48" s="7">
        <f t="shared" si="13"/>
        <v>0.24012371993293866</v>
      </c>
      <c r="Y48" s="7">
        <f t="shared" si="13"/>
        <v>0.23990790903476472</v>
      </c>
      <c r="Z48" s="7">
        <f t="shared" si="13"/>
        <v>0.23834285384571</v>
      </c>
    </row>
    <row r="49" spans="1:28" x14ac:dyDescent="0.25">
      <c r="A49" s="10" t="s">
        <v>108</v>
      </c>
      <c r="B49" s="7">
        <f t="shared" ref="B49:Z49" si="14">B32/B$36</f>
        <v>0.40775773250994124</v>
      </c>
      <c r="C49" s="7">
        <f t="shared" si="14"/>
        <v>0.40732418293569728</v>
      </c>
      <c r="D49" s="7">
        <f t="shared" si="14"/>
        <v>0.40541736822184526</v>
      </c>
      <c r="E49" s="7">
        <f t="shared" si="14"/>
        <v>0.4024467259281741</v>
      </c>
      <c r="F49" s="7">
        <f t="shared" si="14"/>
        <v>0.39911156810904053</v>
      </c>
      <c r="G49" s="7">
        <f t="shared" si="14"/>
        <v>0.39388285973885812</v>
      </c>
      <c r="H49" s="7">
        <f t="shared" si="14"/>
        <v>0.3852867632196334</v>
      </c>
      <c r="I49" s="7">
        <f t="shared" si="14"/>
        <v>0.37907451649476104</v>
      </c>
      <c r="J49" s="7">
        <f t="shared" si="14"/>
        <v>0.3734135977643715</v>
      </c>
      <c r="K49" s="7">
        <f t="shared" si="14"/>
        <v>0.36396288632438945</v>
      </c>
      <c r="L49" s="7">
        <f t="shared" si="14"/>
        <v>0.35760588293958018</v>
      </c>
      <c r="M49" s="7">
        <f t="shared" si="14"/>
        <v>0.34867140394434043</v>
      </c>
      <c r="N49" s="7">
        <f t="shared" si="14"/>
        <v>0.34126164438019879</v>
      </c>
      <c r="O49" s="7">
        <f t="shared" si="14"/>
        <v>0.33513801304763458</v>
      </c>
      <c r="P49" s="7">
        <f t="shared" si="14"/>
        <v>0.32827871192300045</v>
      </c>
      <c r="Q49" s="7">
        <f t="shared" si="14"/>
        <v>0.31988499897148054</v>
      </c>
      <c r="R49" s="7">
        <f t="shared" si="14"/>
        <v>0.31085608045935748</v>
      </c>
      <c r="S49" s="7">
        <f t="shared" si="14"/>
        <v>0.30341351930521632</v>
      </c>
      <c r="T49" s="7">
        <f t="shared" si="14"/>
        <v>0.29397490306890062</v>
      </c>
      <c r="U49" s="7">
        <f t="shared" si="14"/>
        <v>0.28808880233010048</v>
      </c>
      <c r="V49" s="7">
        <f t="shared" si="14"/>
        <v>0.28193434436950593</v>
      </c>
      <c r="W49" s="7">
        <f t="shared" si="14"/>
        <v>0.27589625972940923</v>
      </c>
      <c r="X49" s="7">
        <f t="shared" si="14"/>
        <v>0.26931195301887451</v>
      </c>
      <c r="Y49" s="7">
        <f t="shared" si="14"/>
        <v>0.2631690862043356</v>
      </c>
      <c r="Z49" s="7">
        <f t="shared" si="14"/>
        <v>0.2588340738176293</v>
      </c>
    </row>
    <row r="50" spans="1:28" x14ac:dyDescent="0.25">
      <c r="A50" s="10" t="s">
        <v>109</v>
      </c>
      <c r="B50" s="7">
        <f t="shared" ref="B50:Z50" si="15">B33/B$36</f>
        <v>0.19453708094997879</v>
      </c>
      <c r="C50" s="7">
        <f t="shared" si="15"/>
        <v>0.19912764136759417</v>
      </c>
      <c r="D50" s="7">
        <f t="shared" si="15"/>
        <v>0.20259614187614822</v>
      </c>
      <c r="E50" s="7">
        <f t="shared" si="15"/>
        <v>0.20155255032656086</v>
      </c>
      <c r="F50" s="7">
        <f t="shared" si="15"/>
        <v>0.20691925366137925</v>
      </c>
      <c r="G50" s="7">
        <f t="shared" si="15"/>
        <v>0.212647071032253</v>
      </c>
      <c r="H50" s="7">
        <f t="shared" si="15"/>
        <v>0.21840131180006858</v>
      </c>
      <c r="I50" s="7">
        <f t="shared" si="15"/>
        <v>0.22396165992967598</v>
      </c>
      <c r="J50" s="7">
        <f t="shared" si="15"/>
        <v>0.23043121567710667</v>
      </c>
      <c r="K50" s="7">
        <f t="shared" si="15"/>
        <v>0.24409560024051991</v>
      </c>
      <c r="L50" s="7">
        <f t="shared" si="15"/>
        <v>0.25320050179249098</v>
      </c>
      <c r="M50" s="7">
        <f t="shared" si="15"/>
        <v>0.25926903503055998</v>
      </c>
      <c r="N50" s="7">
        <f t="shared" si="15"/>
        <v>0.26679931658653383</v>
      </c>
      <c r="O50" s="7">
        <f t="shared" si="15"/>
        <v>0.27411819586635117</v>
      </c>
      <c r="P50" s="7">
        <f t="shared" si="15"/>
        <v>0.28153896734133804</v>
      </c>
      <c r="Q50" s="7">
        <f t="shared" si="15"/>
        <v>0.28506792574186191</v>
      </c>
      <c r="R50" s="7">
        <f t="shared" si="15"/>
        <v>0.2969933548853968</v>
      </c>
      <c r="S50" s="7">
        <f t="shared" si="15"/>
        <v>0.30269828997676884</v>
      </c>
      <c r="T50" s="7">
        <f t="shared" si="15"/>
        <v>0.30731787109287229</v>
      </c>
      <c r="U50" s="7">
        <f t="shared" si="15"/>
        <v>0.31393300524447276</v>
      </c>
      <c r="V50" s="7">
        <f t="shared" si="15"/>
        <v>0.3165664339034468</v>
      </c>
      <c r="W50" s="7">
        <f t="shared" si="15"/>
        <v>0.32011696828478753</v>
      </c>
      <c r="X50" s="7">
        <f t="shared" si="15"/>
        <v>0.32758184635059601</v>
      </c>
      <c r="Y50" s="7">
        <f t="shared" si="15"/>
        <v>0.3346896815904063</v>
      </c>
      <c r="Z50" s="7">
        <f t="shared" si="15"/>
        <v>0.34119208354970859</v>
      </c>
    </row>
    <row r="51" spans="1:28" x14ac:dyDescent="0.25">
      <c r="A51" s="10" t="s">
        <v>110</v>
      </c>
      <c r="B51" s="7">
        <f t="shared" ref="B51:Z51" si="16">B34/B$36</f>
        <v>8.6892692751373402E-2</v>
      </c>
      <c r="C51" s="7">
        <f t="shared" si="16"/>
        <v>8.6910713678084284E-2</v>
      </c>
      <c r="D51" s="7">
        <f t="shared" si="16"/>
        <v>8.696433982976573E-2</v>
      </c>
      <c r="E51" s="7">
        <f t="shared" si="16"/>
        <v>8.6219073022395246E-2</v>
      </c>
      <c r="F51" s="7">
        <f t="shared" si="16"/>
        <v>8.6499394568212568E-2</v>
      </c>
      <c r="G51" s="7">
        <f t="shared" si="16"/>
        <v>8.7340937288127779E-2</v>
      </c>
      <c r="H51" s="7">
        <f t="shared" si="16"/>
        <v>8.7877659199974562E-2</v>
      </c>
      <c r="I51" s="7">
        <f t="shared" si="16"/>
        <v>8.8386813031380601E-2</v>
      </c>
      <c r="J51" s="7">
        <f t="shared" si="16"/>
        <v>8.9624285401960727E-2</v>
      </c>
      <c r="K51" s="7">
        <f t="shared" si="16"/>
        <v>8.9835466413878254E-2</v>
      </c>
      <c r="L51" s="7">
        <f t="shared" si="16"/>
        <v>8.1245243206642975E-2</v>
      </c>
      <c r="M51" s="7">
        <f t="shared" si="16"/>
        <v>8.0628232305319333E-2</v>
      </c>
      <c r="N51" s="7">
        <f t="shared" si="16"/>
        <v>8.0033017488951183E-2</v>
      </c>
      <c r="O51" s="7">
        <f t="shared" si="16"/>
        <v>7.9802137846231302E-2</v>
      </c>
      <c r="P51" s="7">
        <f t="shared" si="16"/>
        <v>7.8680817637921771E-2</v>
      </c>
      <c r="Q51" s="7">
        <f t="shared" si="16"/>
        <v>8.2197535609467784E-2</v>
      </c>
      <c r="R51" s="7">
        <f t="shared" si="16"/>
        <v>7.5895446669979466E-2</v>
      </c>
      <c r="S51" s="7">
        <f t="shared" si="16"/>
        <v>7.4700095517130111E-2</v>
      </c>
      <c r="T51" s="7">
        <f t="shared" si="16"/>
        <v>7.3283865667966269E-2</v>
      </c>
      <c r="U51" s="7">
        <f t="shared" si="16"/>
        <v>7.3202534464614E-2</v>
      </c>
      <c r="V51" s="7">
        <f t="shared" si="16"/>
        <v>7.1909715264549395E-2</v>
      </c>
      <c r="W51" s="7">
        <f t="shared" si="16"/>
        <v>7.0542636288938976E-2</v>
      </c>
      <c r="X51" s="7">
        <f t="shared" si="16"/>
        <v>6.9640579119994661E-2</v>
      </c>
      <c r="Y51" s="7">
        <f t="shared" si="16"/>
        <v>6.8494414346803006E-2</v>
      </c>
      <c r="Z51" s="7">
        <f t="shared" si="16"/>
        <v>6.7961456349893257E-2</v>
      </c>
    </row>
    <row r="52" spans="1:28" x14ac:dyDescent="0.25">
      <c r="A52" s="10" t="s">
        <v>111</v>
      </c>
      <c r="B52" s="7">
        <f t="shared" ref="B52:Z52" si="17">B35/B$36</f>
        <v>3.2720150253546568E-3</v>
      </c>
      <c r="C52" s="7">
        <f t="shared" si="17"/>
        <v>3.3208104541885691E-3</v>
      </c>
      <c r="D52" s="7">
        <f t="shared" si="17"/>
        <v>2.9286130144091783E-3</v>
      </c>
      <c r="E52" s="7">
        <f t="shared" si="17"/>
        <v>2.8786384250369169E-3</v>
      </c>
      <c r="F52" s="7">
        <f t="shared" si="17"/>
        <v>3.1812794210187771E-3</v>
      </c>
      <c r="G52" s="7">
        <f t="shared" si="17"/>
        <v>3.5709838250690676E-3</v>
      </c>
      <c r="H52" s="7">
        <f t="shared" si="17"/>
        <v>3.9733279432037812E-3</v>
      </c>
      <c r="I52" s="7">
        <f t="shared" si="17"/>
        <v>4.4333745140636982E-3</v>
      </c>
      <c r="J52" s="7">
        <f t="shared" si="17"/>
        <v>4.9937983388639593E-3</v>
      </c>
      <c r="K52" s="7">
        <f t="shared" si="17"/>
        <v>1.1424695230901243E-2</v>
      </c>
      <c r="L52" s="7">
        <f t="shared" si="17"/>
        <v>9.0354141625156818E-3</v>
      </c>
      <c r="M52" s="7">
        <f t="shared" si="17"/>
        <v>1.2994176695233303E-2</v>
      </c>
      <c r="N52" s="7">
        <f t="shared" si="17"/>
        <v>1.3995004890917864E-2</v>
      </c>
      <c r="O52" s="7">
        <f t="shared" si="17"/>
        <v>1.3849751423682525E-2</v>
      </c>
      <c r="P52" s="7">
        <f t="shared" si="17"/>
        <v>1.3529848351514221E-2</v>
      </c>
      <c r="Q52" s="7">
        <f t="shared" si="17"/>
        <v>1.698167690196423E-2</v>
      </c>
      <c r="R52" s="7">
        <f t="shared" si="17"/>
        <v>1.0686598861431317E-2</v>
      </c>
      <c r="S52" s="7">
        <f t="shared" si="17"/>
        <v>1.0641104725937543E-2</v>
      </c>
      <c r="T52" s="7">
        <f t="shared" si="17"/>
        <v>1.1727899080210597E-2</v>
      </c>
      <c r="U52" s="7">
        <f t="shared" si="17"/>
        <v>7.6208608620847761E-3</v>
      </c>
      <c r="V52" s="7">
        <f t="shared" si="17"/>
        <v>9.6977629197114845E-3</v>
      </c>
      <c r="W52" s="7">
        <f t="shared" si="17"/>
        <v>1.3959472342348419E-2</v>
      </c>
      <c r="X52" s="7">
        <f t="shared" si="17"/>
        <v>1.3524411542952036E-2</v>
      </c>
      <c r="Y52" s="7">
        <f t="shared" si="17"/>
        <v>1.5746147892774221E-2</v>
      </c>
      <c r="Z52" s="7">
        <f t="shared" si="17"/>
        <v>1.7573904179408767E-2</v>
      </c>
    </row>
    <row r="54" spans="1:28" ht="39" x14ac:dyDescent="0.25">
      <c r="A54" s="10" t="s">
        <v>280</v>
      </c>
    </row>
    <row r="56" spans="1:28" x14ac:dyDescent="0.25">
      <c r="A56" t="s">
        <v>0</v>
      </c>
      <c r="B56" s="1"/>
      <c r="C56" s="1"/>
      <c r="D56" s="1"/>
      <c r="E56" s="1">
        <v>2003</v>
      </c>
      <c r="F56" s="1">
        <v>2004</v>
      </c>
      <c r="G56" s="1">
        <v>2005</v>
      </c>
      <c r="H56" s="1">
        <v>2006</v>
      </c>
      <c r="I56" s="1">
        <v>2007</v>
      </c>
      <c r="J56" s="1">
        <v>2008</v>
      </c>
      <c r="K56" s="1">
        <v>2009</v>
      </c>
      <c r="L56" s="1">
        <v>2010</v>
      </c>
      <c r="M56" s="1">
        <v>2011</v>
      </c>
      <c r="N56" s="1">
        <v>2012</v>
      </c>
      <c r="O56" s="1">
        <v>2013</v>
      </c>
      <c r="P56" s="1">
        <v>2014</v>
      </c>
      <c r="Q56" s="1">
        <v>2015</v>
      </c>
      <c r="R56" s="1">
        <v>2016</v>
      </c>
      <c r="S56" s="1">
        <v>2017</v>
      </c>
      <c r="T56" s="1">
        <v>2018</v>
      </c>
      <c r="U56" s="1">
        <v>2019</v>
      </c>
      <c r="V56" s="1">
        <v>2020</v>
      </c>
      <c r="W56" s="1">
        <v>2021</v>
      </c>
      <c r="X56" s="1">
        <v>2022</v>
      </c>
      <c r="Y56" s="1">
        <v>2023</v>
      </c>
      <c r="Z56" s="1"/>
    </row>
    <row r="57" spans="1:28" x14ac:dyDescent="0.25">
      <c r="A57" s="1" t="s">
        <v>1</v>
      </c>
      <c r="AA57" s="16"/>
    </row>
    <row r="58" spans="1:28" x14ac:dyDescent="0.25">
      <c r="A58" t="s">
        <v>2</v>
      </c>
      <c r="B58" s="2"/>
      <c r="C58" s="2"/>
      <c r="D58" s="2"/>
      <c r="E58" s="3">
        <v>340404</v>
      </c>
      <c r="F58" s="2">
        <v>348930</v>
      </c>
      <c r="G58" s="2">
        <v>354953</v>
      </c>
      <c r="H58" s="2">
        <v>373382</v>
      </c>
      <c r="I58" s="2">
        <v>387861</v>
      </c>
      <c r="J58" s="2">
        <v>413469</v>
      </c>
      <c r="K58" s="2">
        <v>429286</v>
      </c>
      <c r="L58" s="2">
        <v>445941</v>
      </c>
      <c r="M58" s="2">
        <v>464463</v>
      </c>
      <c r="N58" s="2">
        <v>477479</v>
      </c>
      <c r="O58" s="2">
        <v>484231</v>
      </c>
      <c r="P58" s="2">
        <v>486320</v>
      </c>
      <c r="Q58" s="2">
        <v>500742</v>
      </c>
      <c r="R58" s="2">
        <v>516774</v>
      </c>
      <c r="S58" s="2">
        <v>533903</v>
      </c>
      <c r="T58" s="2">
        <v>551179</v>
      </c>
      <c r="U58" s="2">
        <v>565782</v>
      </c>
      <c r="V58" s="2">
        <v>597771</v>
      </c>
      <c r="W58" s="2">
        <v>627057</v>
      </c>
      <c r="X58" s="2">
        <v>655108</v>
      </c>
      <c r="Y58" s="2">
        <v>682936</v>
      </c>
      <c r="Z58" s="2"/>
      <c r="AB58" s="17">
        <f>(Y58-E58)/E58</f>
        <v>1.006251395400759</v>
      </c>
    </row>
    <row r="59" spans="1:28" x14ac:dyDescent="0.25">
      <c r="A59" s="5" t="s">
        <v>3</v>
      </c>
      <c r="B59" s="2"/>
      <c r="C59" s="2"/>
      <c r="D59" s="2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8" x14ac:dyDescent="0.25">
      <c r="A60" t="s">
        <v>7</v>
      </c>
      <c r="C60" s="4"/>
      <c r="D60" s="4"/>
      <c r="E60" s="18">
        <v>100</v>
      </c>
      <c r="F60" s="4">
        <f t="shared" ref="F60" si="18">F58/E58*E60</f>
        <v>102.50467092043571</v>
      </c>
      <c r="G60" s="4">
        <f t="shared" ref="G60" si="19">G58/F58*F60</f>
        <v>104.27403908297201</v>
      </c>
      <c r="H60" s="4">
        <f t="shared" ref="H60" si="20">H58/G58*G60</f>
        <v>109.68790025969143</v>
      </c>
      <c r="I60" s="4">
        <f t="shared" ref="I60" si="21">I58/H58*H60</f>
        <v>113.94137554200304</v>
      </c>
      <c r="J60" s="4">
        <f t="shared" ref="J60" si="22">J58/I58*I60</f>
        <v>121.46420136073608</v>
      </c>
      <c r="K60" s="4">
        <f t="shared" ref="K60" si="23">K58/J58*J60</f>
        <v>126.11073900424203</v>
      </c>
      <c r="L60" s="4">
        <f t="shared" ref="L60" si="24">L58/K58*K60</f>
        <v>131.00345471851097</v>
      </c>
      <c r="M60" s="4">
        <f t="shared" ref="M60" si="25">M58/L58*L60</f>
        <v>136.44463637325063</v>
      </c>
      <c r="N60" s="4">
        <f t="shared" ref="N60" si="26">N58/M58*M60</f>
        <v>140.26832822176004</v>
      </c>
      <c r="O60" s="4">
        <f t="shared" ref="O60" si="27">O58/N58*N60</f>
        <v>142.25185367974527</v>
      </c>
      <c r="P60" s="4">
        <f t="shared" ref="P60" si="28">P58/O58*O60</f>
        <v>142.86553624516753</v>
      </c>
      <c r="Q60" s="4">
        <f t="shared" ref="Q60" si="29">Q58/P58*P60</f>
        <v>147.10226671836998</v>
      </c>
      <c r="R60" s="4">
        <f t="shared" ref="R60" si="30">R58/Q58*Q60</f>
        <v>151.81196460676142</v>
      </c>
      <c r="S60" s="4">
        <f t="shared" ref="S60" si="31">S58/R58*R60</f>
        <v>156.84392662835927</v>
      </c>
      <c r="T60" s="4">
        <f t="shared" ref="T60" si="32">T58/S58*S60</f>
        <v>161.91907263134394</v>
      </c>
      <c r="U60" s="4">
        <f t="shared" ref="U60" si="33">U58/T58*T60</f>
        <v>166.20897521768251</v>
      </c>
      <c r="V60" s="4">
        <f t="shared" ref="V60" si="34">V58/U58*U60</f>
        <v>175.60633835090067</v>
      </c>
      <c r="W60" s="4">
        <f t="shared" ref="W60" si="35">W58/V58*V60</f>
        <v>184.20964501004687</v>
      </c>
      <c r="X60" s="4">
        <f t="shared" ref="X60" si="36">X58/W58*W60</f>
        <v>192.45014747182759</v>
      </c>
      <c r="Y60" s="4">
        <f t="shared" ref="Y60" si="37">Y58/X58*X60</f>
        <v>200.62513954007591</v>
      </c>
      <c r="Z60" s="4"/>
    </row>
    <row r="61" spans="1:28" x14ac:dyDescent="0.25">
      <c r="A61" t="s">
        <v>8</v>
      </c>
      <c r="C61" s="4"/>
      <c r="D61" s="4"/>
      <c r="E61" s="18">
        <v>100</v>
      </c>
      <c r="F61" s="4">
        <f>$E61+((F58-$E58)/$E58)*100</f>
        <v>102.50467092043571</v>
      </c>
      <c r="G61" s="4">
        <f t="shared" ref="G61:Z61" si="38">$E61+((G58-$E58)/$E58)*100</f>
        <v>104.274039082972</v>
      </c>
      <c r="H61" s="4">
        <f t="shared" si="38"/>
        <v>109.68790025969143</v>
      </c>
      <c r="I61" s="4">
        <f t="shared" si="38"/>
        <v>113.94137554200303</v>
      </c>
      <c r="J61" s="4">
        <f t="shared" si="38"/>
        <v>121.46420136073607</v>
      </c>
      <c r="K61" s="4">
        <f t="shared" si="38"/>
        <v>126.11073900424202</v>
      </c>
      <c r="L61" s="4">
        <f t="shared" si="38"/>
        <v>131.00345471851094</v>
      </c>
      <c r="M61" s="4">
        <f t="shared" si="38"/>
        <v>136.4446363732506</v>
      </c>
      <c r="N61" s="4">
        <f t="shared" si="38"/>
        <v>140.26832822176002</v>
      </c>
      <c r="O61" s="4">
        <f t="shared" si="38"/>
        <v>142.25185367974524</v>
      </c>
      <c r="P61" s="4">
        <f t="shared" si="38"/>
        <v>142.8655362451675</v>
      </c>
      <c r="Q61" s="4">
        <f t="shared" si="38"/>
        <v>147.10226671836995</v>
      </c>
      <c r="R61" s="4">
        <f t="shared" si="38"/>
        <v>151.81196460676136</v>
      </c>
      <c r="S61" s="4">
        <f t="shared" si="38"/>
        <v>156.84392662835924</v>
      </c>
      <c r="T61" s="4">
        <f t="shared" si="38"/>
        <v>161.91907263134394</v>
      </c>
      <c r="U61" s="4">
        <f t="shared" si="38"/>
        <v>166.20897521768251</v>
      </c>
      <c r="V61" s="4">
        <f t="shared" si="38"/>
        <v>175.6063383509007</v>
      </c>
      <c r="W61" s="4">
        <f t="shared" si="38"/>
        <v>184.20964501004687</v>
      </c>
      <c r="X61" s="4">
        <f t="shared" si="38"/>
        <v>192.45014747182759</v>
      </c>
      <c r="Y61" s="4">
        <f t="shared" si="38"/>
        <v>200.62513954007591</v>
      </c>
      <c r="Z61" s="4"/>
    </row>
    <row r="62" spans="1:28" x14ac:dyDescent="0.25">
      <c r="A62" s="1" t="s">
        <v>4</v>
      </c>
    </row>
    <row r="63" spans="1:28" x14ac:dyDescent="0.25">
      <c r="A63" t="s">
        <v>5</v>
      </c>
      <c r="B63" s="2"/>
      <c r="C63" s="2"/>
      <c r="D63" s="2"/>
      <c r="E63" s="2">
        <v>753826</v>
      </c>
      <c r="F63" s="2">
        <v>761344</v>
      </c>
      <c r="G63" s="2">
        <v>774536</v>
      </c>
      <c r="H63" s="2">
        <v>791288</v>
      </c>
      <c r="I63" s="2">
        <v>817491</v>
      </c>
      <c r="J63" s="2">
        <v>839288</v>
      </c>
      <c r="K63" s="2">
        <v>857909</v>
      </c>
      <c r="L63" s="2">
        <v>877864</v>
      </c>
      <c r="M63" s="2">
        <v>896917</v>
      </c>
      <c r="N63" s="2">
        <v>917653</v>
      </c>
      <c r="O63" s="2">
        <v>931846</v>
      </c>
      <c r="P63" s="2">
        <v>947782</v>
      </c>
      <c r="Q63" s="2">
        <v>968122</v>
      </c>
      <c r="R63" s="2">
        <v>992505</v>
      </c>
      <c r="S63" s="2">
        <v>1022895</v>
      </c>
      <c r="T63" s="2">
        <v>1049159</v>
      </c>
      <c r="U63" s="2">
        <v>1083177</v>
      </c>
      <c r="V63" s="2">
        <v>1122616</v>
      </c>
      <c r="W63" s="2">
        <v>1171728</v>
      </c>
      <c r="X63" s="2">
        <v>1200729</v>
      </c>
      <c r="Y63" s="2">
        <v>1225818</v>
      </c>
      <c r="Z63" s="2"/>
    </row>
    <row r="64" spans="1:28" x14ac:dyDescent="0.25">
      <c r="A64" t="s">
        <v>6</v>
      </c>
      <c r="B64" s="2"/>
      <c r="C64" s="2"/>
      <c r="D64" s="2"/>
      <c r="E64" s="2">
        <v>102829</v>
      </c>
      <c r="F64" s="2">
        <v>98373</v>
      </c>
      <c r="G64" s="2">
        <v>92732</v>
      </c>
      <c r="H64" s="2">
        <v>89334</v>
      </c>
      <c r="I64" s="2">
        <v>87463</v>
      </c>
      <c r="J64" s="2">
        <v>84658</v>
      </c>
      <c r="K64" s="2">
        <v>76733</v>
      </c>
      <c r="L64" s="2">
        <v>74721</v>
      </c>
      <c r="M64" s="2">
        <v>72979</v>
      </c>
      <c r="N64" s="2">
        <v>70914</v>
      </c>
      <c r="O64" s="2">
        <v>69255</v>
      </c>
      <c r="P64" s="2">
        <v>68120</v>
      </c>
      <c r="Q64" s="2">
        <v>67347</v>
      </c>
      <c r="R64" s="2">
        <v>66017</v>
      </c>
      <c r="S64" s="2">
        <v>64868</v>
      </c>
      <c r="T64" s="2">
        <v>63487</v>
      </c>
      <c r="U64" s="2">
        <v>61838</v>
      </c>
      <c r="V64" s="2">
        <v>60131</v>
      </c>
      <c r="W64" s="2">
        <v>58691</v>
      </c>
      <c r="X64" s="2">
        <v>56627</v>
      </c>
      <c r="Y64" s="2">
        <v>53352</v>
      </c>
      <c r="Z64" s="2"/>
    </row>
    <row r="65" spans="1:26" x14ac:dyDescent="0.25">
      <c r="A65" s="5" t="s">
        <v>3</v>
      </c>
    </row>
    <row r="66" spans="1:26" x14ac:dyDescent="0.25">
      <c r="A66" t="s">
        <v>5</v>
      </c>
      <c r="C66" s="4"/>
      <c r="D66" s="4"/>
      <c r="E66" s="18">
        <v>100</v>
      </c>
      <c r="F66" s="4">
        <f t="shared" ref="F66:F67" si="39">F63/E63*E66</f>
        <v>100.99731237712682</v>
      </c>
      <c r="G66" s="4">
        <f t="shared" ref="G66:G67" si="40">G63/F63*F66</f>
        <v>102.74731834667418</v>
      </c>
      <c r="H66" s="4">
        <f t="shared" ref="H66:H67" si="41">H63/G63*G66</f>
        <v>104.96958183984103</v>
      </c>
      <c r="I66" s="4">
        <f t="shared" ref="I66:I67" si="42">I63/H63*H66</f>
        <v>108.44558293293149</v>
      </c>
      <c r="J66" s="4">
        <f t="shared" ref="J66:J67" si="43">J63/I63*I66</f>
        <v>111.33709901223891</v>
      </c>
      <c r="K66" s="4">
        <f t="shared" ref="K66:K67" si="44">K63/J63*J66</f>
        <v>113.80729770530601</v>
      </c>
      <c r="L66" s="4">
        <f t="shared" ref="L66:L67" si="45">L63/K63*K66</f>
        <v>116.45446031312267</v>
      </c>
      <c r="M66" s="4">
        <f t="shared" ref="M66:M67" si="46">M63/L63*L66</f>
        <v>118.98196666074134</v>
      </c>
      <c r="N66" s="4">
        <f t="shared" ref="N66:N67" si="47">N63/M63*M66</f>
        <v>121.73273407921721</v>
      </c>
      <c r="O66" s="4">
        <f t="shared" ref="O66:O67" si="48">O63/N63*N66</f>
        <v>123.61552931313062</v>
      </c>
      <c r="P66" s="4">
        <f t="shared" ref="P66:P67" si="49">P63/O63*O66</f>
        <v>125.72954501436671</v>
      </c>
      <c r="Q66" s="4">
        <f t="shared" ref="Q66:Q67" si="50">Q63/P63*P66</f>
        <v>128.42778041617029</v>
      </c>
      <c r="R66" s="4">
        <f t="shared" ref="R66:R67" si="51">R63/Q63*Q66</f>
        <v>131.66234648314065</v>
      </c>
      <c r="S66" s="4">
        <f t="shared" ref="S66:S67" si="52">S63/R63*R66</f>
        <v>135.69378079291505</v>
      </c>
      <c r="T66" s="4">
        <f t="shared" ref="T66:T67" si="53">T63/S63*S66</f>
        <v>139.17787393907875</v>
      </c>
      <c r="U66" s="4">
        <f t="shared" ref="U66:U67" si="54">U63/T63*T66</f>
        <v>143.69058642180025</v>
      </c>
      <c r="V66" s="4">
        <f t="shared" ref="V66:V67" si="55">V63/U63*U66</f>
        <v>148.9224303751794</v>
      </c>
      <c r="W66" s="4">
        <f t="shared" ref="W66:W67" si="56">W63/V63*V66</f>
        <v>155.43746169540449</v>
      </c>
      <c r="X66" s="4">
        <f t="shared" ref="X66:X67" si="57">X63/W63*W66</f>
        <v>159.28463597700264</v>
      </c>
      <c r="Y66" s="4">
        <f t="shared" ref="Y66:Y67" si="58">Y63/X63*X66</f>
        <v>162.61285760905034</v>
      </c>
      <c r="Z66" s="4"/>
    </row>
    <row r="67" spans="1:26" x14ac:dyDescent="0.25">
      <c r="A67" t="s">
        <v>6</v>
      </c>
      <c r="C67" s="4"/>
      <c r="D67" s="4"/>
      <c r="E67" s="18">
        <v>100</v>
      </c>
      <c r="F67" s="4">
        <f t="shared" si="39"/>
        <v>95.666592109229882</v>
      </c>
      <c r="G67" s="4">
        <f t="shared" si="40"/>
        <v>90.180785576053452</v>
      </c>
      <c r="H67" s="4">
        <f t="shared" si="41"/>
        <v>86.876270312849499</v>
      </c>
      <c r="I67" s="4">
        <f t="shared" si="42"/>
        <v>85.056744692645083</v>
      </c>
      <c r="J67" s="4">
        <f t="shared" si="43"/>
        <v>82.328914994797202</v>
      </c>
      <c r="K67" s="4">
        <f t="shared" si="44"/>
        <v>74.621945171109331</v>
      </c>
      <c r="L67" s="4">
        <f t="shared" si="45"/>
        <v>72.66529869978315</v>
      </c>
      <c r="M67" s="4">
        <f t="shared" si="46"/>
        <v>70.971224071030562</v>
      </c>
      <c r="N67" s="4">
        <f t="shared" si="47"/>
        <v>68.963035719495494</v>
      </c>
      <c r="O67" s="4">
        <f t="shared" si="48"/>
        <v>67.349677620126641</v>
      </c>
      <c r="P67" s="4">
        <f t="shared" si="49"/>
        <v>66.24590339301173</v>
      </c>
      <c r="Q67" s="4">
        <f t="shared" si="50"/>
        <v>65.494169932606596</v>
      </c>
      <c r="R67" s="4">
        <f t="shared" si="51"/>
        <v>64.200760485855184</v>
      </c>
      <c r="S67" s="4">
        <f t="shared" si="52"/>
        <v>63.083371422458669</v>
      </c>
      <c r="T67" s="4">
        <f t="shared" si="53"/>
        <v>61.740365072110031</v>
      </c>
      <c r="U67" s="4">
        <f t="shared" si="54"/>
        <v>60.136731855799454</v>
      </c>
      <c r="V67" s="4">
        <f t="shared" si="55"/>
        <v>58.476694317750848</v>
      </c>
      <c r="W67" s="4">
        <f t="shared" si="56"/>
        <v>57.076311157358354</v>
      </c>
      <c r="X67" s="4">
        <f t="shared" si="57"/>
        <v>55.069095294129106</v>
      </c>
      <c r="Y67" s="4">
        <f t="shared" si="58"/>
        <v>51.884196092542005</v>
      </c>
      <c r="Z67" s="4"/>
    </row>
    <row r="68" spans="1:26" x14ac:dyDescent="0.25">
      <c r="A68" s="5" t="s">
        <v>9</v>
      </c>
    </row>
    <row r="69" spans="1:26" x14ac:dyDescent="0.25">
      <c r="A69" t="s">
        <v>5</v>
      </c>
      <c r="B69" s="6"/>
      <c r="C69" s="6"/>
      <c r="D69" s="6"/>
      <c r="E69" s="6">
        <f t="shared" ref="C69:Z69" si="59">E63/(E63+E64)</f>
        <v>0.87996451313539292</v>
      </c>
      <c r="F69" s="6">
        <f t="shared" si="59"/>
        <v>0.88557513693459589</v>
      </c>
      <c r="G69" s="6">
        <f t="shared" si="59"/>
        <v>0.89307572745679531</v>
      </c>
      <c r="H69" s="6">
        <f t="shared" si="59"/>
        <v>0.89855579351867199</v>
      </c>
      <c r="I69" s="6">
        <f t="shared" si="59"/>
        <v>0.90335088855345136</v>
      </c>
      <c r="J69" s="6">
        <f t="shared" si="59"/>
        <v>0.90837343307942242</v>
      </c>
      <c r="K69" s="6">
        <f t="shared" si="59"/>
        <v>0.91790118569462964</v>
      </c>
      <c r="L69" s="6">
        <f t="shared" si="59"/>
        <v>0.92155975582231509</v>
      </c>
      <c r="M69" s="6">
        <f t="shared" si="59"/>
        <v>0.92475585011176453</v>
      </c>
      <c r="N69" s="6">
        <f t="shared" si="59"/>
        <v>0.92826586361875318</v>
      </c>
      <c r="O69" s="6">
        <f t="shared" si="59"/>
        <v>0.93082116589634811</v>
      </c>
      <c r="P69" s="6">
        <f t="shared" si="59"/>
        <v>0.93294628812621694</v>
      </c>
      <c r="Q69" s="6">
        <f t="shared" si="59"/>
        <v>0.93495990705660914</v>
      </c>
      <c r="R69" s="6">
        <f t="shared" si="59"/>
        <v>0.93763285033282251</v>
      </c>
      <c r="S69" s="6">
        <f t="shared" si="59"/>
        <v>0.94036568627541106</v>
      </c>
      <c r="T69" s="6">
        <f t="shared" si="59"/>
        <v>0.94294052196296041</v>
      </c>
      <c r="U69" s="6">
        <f t="shared" si="59"/>
        <v>0.94599372060628029</v>
      </c>
      <c r="V69" s="6">
        <f t="shared" si="59"/>
        <v>0.9491598795008569</v>
      </c>
      <c r="W69" s="6">
        <f t="shared" si="59"/>
        <v>0.95229998886558154</v>
      </c>
      <c r="X69" s="6">
        <f t="shared" si="59"/>
        <v>0.95496343120007376</v>
      </c>
      <c r="Y69" s="6">
        <f t="shared" si="59"/>
        <v>0.95829170477731651</v>
      </c>
      <c r="Z69" s="6"/>
    </row>
    <row r="70" spans="1:26" x14ac:dyDescent="0.25">
      <c r="A70" t="s">
        <v>6</v>
      </c>
      <c r="B70" s="7"/>
      <c r="C70" s="7"/>
      <c r="D70" s="7"/>
      <c r="E70" s="7">
        <f t="shared" ref="C70:Z70" si="60">E64/(E63+E64)</f>
        <v>0.1200354868646071</v>
      </c>
      <c r="F70" s="7">
        <f t="shared" si="60"/>
        <v>0.11442486306540409</v>
      </c>
      <c r="G70" s="7">
        <f t="shared" si="60"/>
        <v>0.10692427254320463</v>
      </c>
      <c r="H70" s="7">
        <f t="shared" si="60"/>
        <v>0.10144420648132797</v>
      </c>
      <c r="I70" s="7">
        <f t="shared" si="60"/>
        <v>9.6649111446548669E-2</v>
      </c>
      <c r="J70" s="7">
        <f t="shared" si="60"/>
        <v>9.1626566920577607E-2</v>
      </c>
      <c r="K70" s="7">
        <f t="shared" si="60"/>
        <v>8.2098814305370402E-2</v>
      </c>
      <c r="L70" s="7">
        <f t="shared" si="60"/>
        <v>7.8440244177684929E-2</v>
      </c>
      <c r="M70" s="7">
        <f t="shared" si="60"/>
        <v>7.524414988823544E-2</v>
      </c>
      <c r="N70" s="7">
        <f t="shared" si="60"/>
        <v>7.1734136381246788E-2</v>
      </c>
      <c r="O70" s="7">
        <f t="shared" si="60"/>
        <v>6.9178834103651873E-2</v>
      </c>
      <c r="P70" s="7">
        <f t="shared" si="60"/>
        <v>6.7053711873783103E-2</v>
      </c>
      <c r="Q70" s="7">
        <f t="shared" si="60"/>
        <v>6.5040092943390873E-2</v>
      </c>
      <c r="R70" s="7">
        <f t="shared" si="60"/>
        <v>6.2367149667177442E-2</v>
      </c>
      <c r="S70" s="7">
        <f t="shared" si="60"/>
        <v>5.9634313724588904E-2</v>
      </c>
      <c r="T70" s="7">
        <f t="shared" si="60"/>
        <v>5.7059478037039632E-2</v>
      </c>
      <c r="U70" s="7">
        <f t="shared" si="60"/>
        <v>5.4006279393719735E-2</v>
      </c>
      <c r="V70" s="7">
        <f t="shared" si="60"/>
        <v>5.0840120499143097E-2</v>
      </c>
      <c r="W70" s="7">
        <f t="shared" si="60"/>
        <v>4.7700011134418435E-2</v>
      </c>
      <c r="X70" s="7">
        <f t="shared" si="60"/>
        <v>4.5036568799926194E-2</v>
      </c>
      <c r="Y70" s="7">
        <f t="shared" si="60"/>
        <v>4.1708295222683461E-2</v>
      </c>
      <c r="Z70" s="7"/>
    </row>
    <row r="71" spans="1:26" x14ac:dyDescent="0.25">
      <c r="A71" s="1" t="s">
        <v>10</v>
      </c>
    </row>
    <row r="72" spans="1:26" x14ac:dyDescent="0.25">
      <c r="A72" t="s">
        <v>11</v>
      </c>
      <c r="B72" s="8"/>
      <c r="C72" s="8"/>
      <c r="D72" s="8"/>
      <c r="E72" s="8" t="s">
        <v>23</v>
      </c>
      <c r="F72" s="8" t="s">
        <v>26</v>
      </c>
      <c r="G72" s="8" t="s">
        <v>29</v>
      </c>
      <c r="H72" s="8" t="s">
        <v>31</v>
      </c>
      <c r="I72" s="8" t="s">
        <v>34</v>
      </c>
      <c r="J72" s="8" t="s">
        <v>37</v>
      </c>
      <c r="K72" s="8" t="s">
        <v>40</v>
      </c>
      <c r="L72" s="8" t="s">
        <v>43</v>
      </c>
      <c r="M72" s="8" t="s">
        <v>46</v>
      </c>
      <c r="N72" s="8" t="s">
        <v>49</v>
      </c>
      <c r="O72" s="8" t="s">
        <v>52</v>
      </c>
      <c r="P72" s="8" t="s">
        <v>55</v>
      </c>
      <c r="Q72" s="8" t="s">
        <v>58</v>
      </c>
      <c r="R72" s="8" t="s">
        <v>61</v>
      </c>
      <c r="S72" s="8" t="s">
        <v>64</v>
      </c>
      <c r="T72" s="8" t="s">
        <v>67</v>
      </c>
      <c r="U72" s="8" t="s">
        <v>70</v>
      </c>
      <c r="V72" s="8" t="s">
        <v>73</v>
      </c>
      <c r="W72" s="8" t="s">
        <v>76</v>
      </c>
      <c r="X72" s="8" t="s">
        <v>79</v>
      </c>
      <c r="Y72" s="8" t="s">
        <v>82</v>
      </c>
      <c r="Z72" s="8"/>
    </row>
    <row r="73" spans="1:26" x14ac:dyDescent="0.25">
      <c r="A73" t="s">
        <v>12</v>
      </c>
      <c r="B73" s="8"/>
      <c r="C73" s="8"/>
      <c r="D73" s="8"/>
      <c r="E73" s="8" t="s">
        <v>24</v>
      </c>
      <c r="F73" s="8" t="s">
        <v>27</v>
      </c>
      <c r="G73" s="8" t="s">
        <v>30</v>
      </c>
      <c r="H73" s="8" t="s">
        <v>32</v>
      </c>
      <c r="I73" s="8" t="s">
        <v>35</v>
      </c>
      <c r="J73" s="8" t="s">
        <v>38</v>
      </c>
      <c r="K73" s="8" t="s">
        <v>41</v>
      </c>
      <c r="L73" s="8" t="s">
        <v>44</v>
      </c>
      <c r="M73" s="8" t="s">
        <v>47</v>
      </c>
      <c r="N73" s="8" t="s">
        <v>50</v>
      </c>
      <c r="O73" s="8" t="s">
        <v>53</v>
      </c>
      <c r="P73" s="8" t="s">
        <v>56</v>
      </c>
      <c r="Q73" s="8" t="s">
        <v>59</v>
      </c>
      <c r="R73" s="8" t="s">
        <v>62</v>
      </c>
      <c r="S73" s="8" t="s">
        <v>65</v>
      </c>
      <c r="T73" s="8" t="s">
        <v>68</v>
      </c>
      <c r="U73" s="8" t="s">
        <v>71</v>
      </c>
      <c r="V73" s="8" t="s">
        <v>74</v>
      </c>
      <c r="W73" s="8" t="s">
        <v>77</v>
      </c>
      <c r="X73" s="8" t="s">
        <v>80</v>
      </c>
      <c r="Y73" s="8" t="s">
        <v>83</v>
      </c>
      <c r="Z73" s="8"/>
    </row>
    <row r="74" spans="1:26" x14ac:dyDescent="0.25">
      <c r="A74" t="s">
        <v>13</v>
      </c>
      <c r="B74" s="8"/>
      <c r="C74" s="8"/>
      <c r="D74" s="8"/>
      <c r="E74" s="8" t="s">
        <v>25</v>
      </c>
      <c r="F74" s="8" t="s">
        <v>28</v>
      </c>
      <c r="G74" s="8" t="s">
        <v>88</v>
      </c>
      <c r="H74" s="8" t="s">
        <v>33</v>
      </c>
      <c r="I74" s="8" t="s">
        <v>36</v>
      </c>
      <c r="J74" s="8" t="s">
        <v>39</v>
      </c>
      <c r="K74" s="8" t="s">
        <v>42</v>
      </c>
      <c r="L74" s="8" t="s">
        <v>45</v>
      </c>
      <c r="M74" s="8" t="s">
        <v>48</v>
      </c>
      <c r="N74" s="8" t="s">
        <v>51</v>
      </c>
      <c r="O74" s="8" t="s">
        <v>54</v>
      </c>
      <c r="P74" s="8" t="s">
        <v>57</v>
      </c>
      <c r="Q74" s="8" t="s">
        <v>60</v>
      </c>
      <c r="R74" s="8" t="s">
        <v>63</v>
      </c>
      <c r="S74" s="8" t="s">
        <v>66</v>
      </c>
      <c r="T74" s="8" t="s">
        <v>69</v>
      </c>
      <c r="U74" s="8" t="s">
        <v>72</v>
      </c>
      <c r="V74" s="8" t="s">
        <v>75</v>
      </c>
      <c r="W74" s="8" t="s">
        <v>78</v>
      </c>
      <c r="X74" s="8" t="s">
        <v>81</v>
      </c>
      <c r="Y74" s="8" t="s">
        <v>84</v>
      </c>
      <c r="Z74" s="8"/>
    </row>
    <row r="75" spans="1:26" x14ac:dyDescent="0.25">
      <c r="A75" s="5" t="s">
        <v>3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x14ac:dyDescent="0.25">
      <c r="A76" t="s">
        <v>11</v>
      </c>
      <c r="B76" s="9"/>
      <c r="C76" s="8"/>
      <c r="D76" s="8"/>
      <c r="E76" s="9">
        <v>100</v>
      </c>
      <c r="F76" s="8">
        <f t="shared" ref="F76:F78" si="61">F72/E72*E76</f>
        <v>99.460508368916649</v>
      </c>
      <c r="G76" s="8">
        <f t="shared" ref="G76:G78" si="62">G72/F72*F76</f>
        <v>99.464570570598724</v>
      </c>
      <c r="H76" s="8">
        <f t="shared" ref="H76:H78" si="63">H72/G72*G76</f>
        <v>100.10702339046978</v>
      </c>
      <c r="I76" s="8">
        <f t="shared" ref="I76:I78" si="64">I72/H72*H76</f>
        <v>101.86751910406581</v>
      </c>
      <c r="J76" s="8">
        <f t="shared" ref="J76:J78" si="65">J72/I72*I76</f>
        <v>103.10289713099196</v>
      </c>
      <c r="K76" s="8">
        <f t="shared" ref="K76:K78" si="66">K72/J72*J76</f>
        <v>103.4359976689212</v>
      </c>
      <c r="L76" s="8">
        <f t="shared" ref="L76:L78" si="67">L72/K72*K76</f>
        <v>104.63700322007605</v>
      </c>
      <c r="M76" s="8">
        <f t="shared" ref="M76:M78" si="68">M72/L72*L76</f>
        <v>105.64067951259833</v>
      </c>
      <c r="N76" s="8">
        <f t="shared" ref="N76:N78" si="69">N72/M72*M76</f>
        <v>106.79200121241099</v>
      </c>
      <c r="O76" s="8">
        <f t="shared" ref="O76:O78" si="70">O72/N72*N76</f>
        <v>107.10072854024786</v>
      </c>
      <c r="P76" s="8">
        <f t="shared" ref="P76:P78" si="71">P72/O72*O76</f>
        <v>108.12252850181319</v>
      </c>
      <c r="Q76" s="8">
        <f t="shared" ref="Q76:Q78" si="72">Q72/P72*P76</f>
        <v>110.05019943847877</v>
      </c>
      <c r="R76" s="8">
        <f t="shared" ref="R76:R78" si="73">R72/Q72*Q76</f>
        <v>111.61867800333415</v>
      </c>
      <c r="S76" s="8">
        <f t="shared" ref="S76:S78" si="74">S72/R72*R76</f>
        <v>112.95123639357737</v>
      </c>
      <c r="T76" s="8">
        <f t="shared" ref="T76:T78" si="75">T72/S72*S76</f>
        <v>114.70563880465032</v>
      </c>
      <c r="U76" s="8">
        <f t="shared" ref="U76:U78" si="76">U72/T72*T76</f>
        <v>116.80220358817402</v>
      </c>
      <c r="V76" s="8">
        <f t="shared" ref="V76:V78" si="77">V72/U72*U76</f>
        <v>119.73480072557174</v>
      </c>
      <c r="W76" s="8">
        <f t="shared" ref="W76:W78" si="78">W72/V72*V76</f>
        <v>122.92409776157065</v>
      </c>
      <c r="X76" s="8">
        <f t="shared" ref="X76:X78" si="79">X72/W72*W76</f>
        <v>124.25368761981544</v>
      </c>
      <c r="Y76" s="8">
        <f t="shared" ref="Y76:Y78" si="80">Y72/X72*X76</f>
        <v>124.79146062711021</v>
      </c>
      <c r="Z76" s="8"/>
    </row>
    <row r="77" spans="1:26" x14ac:dyDescent="0.25">
      <c r="A77" t="s">
        <v>12</v>
      </c>
      <c r="B77" s="9"/>
      <c r="C77" s="8"/>
      <c r="D77" s="8"/>
      <c r="E77" s="9">
        <v>100</v>
      </c>
      <c r="F77" s="8">
        <f t="shared" si="61"/>
        <v>103.59153415056865</v>
      </c>
      <c r="G77" s="8">
        <f t="shared" si="62"/>
        <v>107.75677761331866</v>
      </c>
      <c r="H77" s="8">
        <f t="shared" si="63"/>
        <v>113.17697066302325</v>
      </c>
      <c r="I77" s="8">
        <f t="shared" si="64"/>
        <v>120.35118347312357</v>
      </c>
      <c r="J77" s="8">
        <f t="shared" si="65"/>
        <v>126.28562753804697</v>
      </c>
      <c r="K77" s="8">
        <f t="shared" si="66"/>
        <v>130.21493541816892</v>
      </c>
      <c r="L77" s="8">
        <f t="shared" si="67"/>
        <v>134.51807152706616</v>
      </c>
      <c r="M77" s="8">
        <f t="shared" si="68"/>
        <v>138.75858666363047</v>
      </c>
      <c r="N77" s="8">
        <f t="shared" si="69"/>
        <v>143.0497046061204</v>
      </c>
      <c r="O77" s="8">
        <f t="shared" si="70"/>
        <v>146.0966260579149</v>
      </c>
      <c r="P77" s="8">
        <f t="shared" si="71"/>
        <v>148.01383986742061</v>
      </c>
      <c r="Q77" s="8">
        <f t="shared" si="72"/>
        <v>150.23530304755394</v>
      </c>
      <c r="R77" s="8">
        <f t="shared" si="73"/>
        <v>154.99323187470739</v>
      </c>
      <c r="S77" s="8">
        <f t="shared" si="74"/>
        <v>163.93601275190704</v>
      </c>
      <c r="T77" s="8">
        <f t="shared" si="75"/>
        <v>170.15003731956932</v>
      </c>
      <c r="U77" s="8">
        <f t="shared" si="76"/>
        <v>177.87518817918448</v>
      </c>
      <c r="V77" s="8">
        <f t="shared" si="77"/>
        <v>185.6914240894657</v>
      </c>
      <c r="W77" s="8">
        <f t="shared" si="78"/>
        <v>198.31872177312226</v>
      </c>
      <c r="X77" s="8">
        <f t="shared" si="79"/>
        <v>204.62130125115434</v>
      </c>
      <c r="Y77" s="8">
        <f t="shared" si="80"/>
        <v>210.42923830126378</v>
      </c>
      <c r="Z77" s="8"/>
    </row>
    <row r="78" spans="1:26" x14ac:dyDescent="0.25">
      <c r="A78" t="s">
        <v>13</v>
      </c>
      <c r="B78" s="9"/>
      <c r="C78" s="8"/>
      <c r="D78" s="8"/>
      <c r="E78" s="9">
        <v>100</v>
      </c>
      <c r="F78" s="8">
        <f t="shared" si="61"/>
        <v>101.43042690638137</v>
      </c>
      <c r="G78" s="8">
        <f t="shared" si="62"/>
        <v>103.03688006289093</v>
      </c>
      <c r="H78" s="8">
        <f t="shared" si="63"/>
        <v>104.18703216324298</v>
      </c>
      <c r="I78" s="8">
        <f t="shared" si="64"/>
        <v>107.12991762655089</v>
      </c>
      <c r="J78" s="8">
        <f t="shared" si="65"/>
        <v>110.04033222818468</v>
      </c>
      <c r="K78" s="8">
        <f t="shared" si="66"/>
        <v>114.05988310489795</v>
      </c>
      <c r="L78" s="8">
        <f t="shared" si="67"/>
        <v>119.96103496599103</v>
      </c>
      <c r="M78" s="8">
        <f t="shared" si="68"/>
        <v>127.10975151245853</v>
      </c>
      <c r="N78" s="8">
        <f t="shared" si="69"/>
        <v>134.83098062002253</v>
      </c>
      <c r="O78" s="8">
        <f t="shared" si="70"/>
        <v>144.64230782376865</v>
      </c>
      <c r="P78" s="8">
        <f t="shared" si="71"/>
        <v>153.58033974775265</v>
      </c>
      <c r="Q78" s="8">
        <f t="shared" si="72"/>
        <v>159.93266568684416</v>
      </c>
      <c r="R78" s="8">
        <f t="shared" si="73"/>
        <v>169.31845370338721</v>
      </c>
      <c r="S78" s="8">
        <f t="shared" si="74"/>
        <v>180.55337184263595</v>
      </c>
      <c r="T78" s="8">
        <f t="shared" si="75"/>
        <v>187.09881395905256</v>
      </c>
      <c r="U78" s="8">
        <f t="shared" si="76"/>
        <v>198.61229791161091</v>
      </c>
      <c r="V78" s="8">
        <f t="shared" si="77"/>
        <v>209.90019482517008</v>
      </c>
      <c r="W78" s="8">
        <f t="shared" si="78"/>
        <v>222.3690057080357</v>
      </c>
      <c r="X78" s="8">
        <f t="shared" si="79"/>
        <v>236.83221109478075</v>
      </c>
      <c r="Y78" s="8">
        <f t="shared" si="80"/>
        <v>252.53785418874114</v>
      </c>
      <c r="Z78" s="8"/>
    </row>
    <row r="79" spans="1:26" x14ac:dyDescent="0.25">
      <c r="A79" s="5" t="s">
        <v>9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5">
      <c r="A80" t="s">
        <v>11</v>
      </c>
      <c r="B80" s="7"/>
      <c r="C80" s="7"/>
      <c r="D80" s="7"/>
      <c r="E80" s="7">
        <f t="shared" ref="C80:Z80" si="81">E72/(E72+E73+E74)</f>
        <v>0.7471467510257922</v>
      </c>
      <c r="F80" s="7">
        <f t="shared" si="81"/>
        <v>0.74046924743840126</v>
      </c>
      <c r="G80" s="7">
        <f t="shared" si="81"/>
        <v>0.73405221915255725</v>
      </c>
      <c r="H80" s="7">
        <f t="shared" si="81"/>
        <v>0.72759027142179056</v>
      </c>
      <c r="I80" s="7">
        <f t="shared" si="81"/>
        <v>0.72047860996249535</v>
      </c>
      <c r="J80" s="7">
        <f t="shared" si="81"/>
        <v>0.71422680546265693</v>
      </c>
      <c r="K80" s="7">
        <f t="shared" si="81"/>
        <v>0.70833431410101411</v>
      </c>
      <c r="L80" s="7">
        <f t="shared" si="81"/>
        <v>0.70306166903740874</v>
      </c>
      <c r="M80" s="7">
        <f t="shared" si="81"/>
        <v>0.69713660021280632</v>
      </c>
      <c r="N80" s="7">
        <f t="shared" si="81"/>
        <v>0.69142405117710792</v>
      </c>
      <c r="O80" s="7">
        <f t="shared" si="81"/>
        <v>0.68474110004884625</v>
      </c>
      <c r="P80" s="7">
        <f t="shared" si="81"/>
        <v>0.68120251756567074</v>
      </c>
      <c r="Q80" s="7">
        <f t="shared" si="81"/>
        <v>0.68024537673266894</v>
      </c>
      <c r="R80" s="7">
        <f t="shared" si="81"/>
        <v>0.67491464513727628</v>
      </c>
      <c r="S80" s="7">
        <f t="shared" si="81"/>
        <v>0.66461260403231215</v>
      </c>
      <c r="T80" s="7">
        <f t="shared" si="81"/>
        <v>0.65984149495886379</v>
      </c>
      <c r="U80" s="7">
        <f t="shared" si="81"/>
        <v>0.65290760383051749</v>
      </c>
      <c r="V80" s="7">
        <f t="shared" si="81"/>
        <v>0.647948377801846</v>
      </c>
      <c r="W80" s="7">
        <f t="shared" si="81"/>
        <v>0.63943420899709769</v>
      </c>
      <c r="X80" s="7">
        <f t="shared" si="81"/>
        <v>0.63250344373431233</v>
      </c>
      <c r="Y80" s="7">
        <f t="shared" si="81"/>
        <v>0.62440801457194894</v>
      </c>
      <c r="Z80" s="7"/>
    </row>
    <row r="81" spans="1:26" x14ac:dyDescent="0.25">
      <c r="A81" t="s">
        <v>12</v>
      </c>
      <c r="B81" s="7"/>
      <c r="C81" s="7"/>
      <c r="D81" s="7"/>
      <c r="E81" s="7">
        <f t="shared" ref="C81:Z81" si="82">E73/(E72+E73+E74)</f>
        <v>0.18454803859196525</v>
      </c>
      <c r="F81" s="7">
        <f t="shared" si="82"/>
        <v>0.19049524436529694</v>
      </c>
      <c r="G81" s="7">
        <f t="shared" si="82"/>
        <v>0.19642947739337782</v>
      </c>
      <c r="H81" s="7">
        <f t="shared" si="82"/>
        <v>0.20318138770096592</v>
      </c>
      <c r="I81" s="7">
        <f t="shared" si="82"/>
        <v>0.21025157079807372</v>
      </c>
      <c r="J81" s="7">
        <f t="shared" si="82"/>
        <v>0.21608405686046586</v>
      </c>
      <c r="K81" s="7">
        <f t="shared" si="82"/>
        <v>0.22025759595652666</v>
      </c>
      <c r="L81" s="7">
        <f t="shared" si="82"/>
        <v>0.22325041859781541</v>
      </c>
      <c r="M81" s="7">
        <f t="shared" si="82"/>
        <v>0.2261778582445953</v>
      </c>
      <c r="N81" s="7">
        <f t="shared" si="82"/>
        <v>0.22876851037916499</v>
      </c>
      <c r="O81" s="7">
        <f t="shared" si="82"/>
        <v>0.23071598170414373</v>
      </c>
      <c r="P81" s="7">
        <f t="shared" si="82"/>
        <v>0.23033816253930006</v>
      </c>
      <c r="Q81" s="7">
        <f t="shared" si="82"/>
        <v>0.22937721940492667</v>
      </c>
      <c r="R81" s="7">
        <f t="shared" si="82"/>
        <v>0.23148786704480398</v>
      </c>
      <c r="S81" s="7">
        <f t="shared" si="82"/>
        <v>0.23826237884539186</v>
      </c>
      <c r="T81" s="7">
        <f t="shared" si="82"/>
        <v>0.24176332813850945</v>
      </c>
      <c r="U81" s="7">
        <f t="shared" si="82"/>
        <v>0.2455950358728925</v>
      </c>
      <c r="V81" s="7">
        <f t="shared" si="82"/>
        <v>0.24820777393643781</v>
      </c>
      <c r="W81" s="7">
        <f t="shared" si="82"/>
        <v>0.25481563597441198</v>
      </c>
      <c r="X81" s="7">
        <f t="shared" si="82"/>
        <v>0.25728115187743167</v>
      </c>
      <c r="Y81" s="7">
        <f t="shared" si="82"/>
        <v>0.26007176528530218</v>
      </c>
      <c r="Z81" s="7"/>
    </row>
    <row r="82" spans="1:26" x14ac:dyDescent="0.25">
      <c r="A82" t="s">
        <v>13</v>
      </c>
      <c r="B82" s="7"/>
      <c r="C82" s="7"/>
      <c r="D82" s="7"/>
      <c r="E82" s="7">
        <f t="shared" ref="C82:Z82" si="83">E74/(E72+E73+E74)</f>
        <v>6.8305210382242562E-2</v>
      </c>
      <c r="F82" s="7">
        <f t="shared" si="83"/>
        <v>6.9035508196301804E-2</v>
      </c>
      <c r="G82" s="7">
        <f t="shared" si="83"/>
        <v>6.9518303454064942E-2</v>
      </c>
      <c r="H82" s="7">
        <f t="shared" si="83"/>
        <v>6.9228340877243583E-2</v>
      </c>
      <c r="I82" s="7">
        <f t="shared" si="83"/>
        <v>6.9269819239430958E-2</v>
      </c>
      <c r="J82" s="7">
        <f t="shared" si="83"/>
        <v>6.9689137676877219E-2</v>
      </c>
      <c r="K82" s="7">
        <f t="shared" si="83"/>
        <v>7.1408089942459257E-2</v>
      </c>
      <c r="L82" s="7">
        <f t="shared" si="83"/>
        <v>7.3687912364775843E-2</v>
      </c>
      <c r="M82" s="7">
        <f t="shared" si="83"/>
        <v>7.6685541542598379E-2</v>
      </c>
      <c r="N82" s="7">
        <f t="shared" si="83"/>
        <v>7.9807438443727133E-2</v>
      </c>
      <c r="O82" s="7">
        <f t="shared" si="83"/>
        <v>8.4542918247010046E-2</v>
      </c>
      <c r="P82" s="7">
        <f t="shared" si="83"/>
        <v>8.845931989502924E-2</v>
      </c>
      <c r="Q82" s="7">
        <f t="shared" si="83"/>
        <v>9.0377403862404379E-2</v>
      </c>
      <c r="R82" s="7">
        <f t="shared" si="83"/>
        <v>9.3597487817919697E-2</v>
      </c>
      <c r="S82" s="7">
        <f t="shared" si="83"/>
        <v>9.7125017122295945E-2</v>
      </c>
      <c r="T82" s="7">
        <f t="shared" si="83"/>
        <v>9.839517690262671E-2</v>
      </c>
      <c r="U82" s="7">
        <f t="shared" si="83"/>
        <v>0.10149736029659</v>
      </c>
      <c r="V82" s="7">
        <f t="shared" si="83"/>
        <v>0.10384384826171615</v>
      </c>
      <c r="W82" s="7">
        <f t="shared" si="83"/>
        <v>0.10575015502849029</v>
      </c>
      <c r="X82" s="7">
        <f t="shared" si="83"/>
        <v>0.11021540438825599</v>
      </c>
      <c r="Y82" s="7">
        <f t="shared" si="83"/>
        <v>0.11552022014274882</v>
      </c>
      <c r="Z82" s="7"/>
    </row>
    <row r="83" spans="1:26" x14ac:dyDescent="0.25">
      <c r="A83" s="1" t="s">
        <v>113</v>
      </c>
    </row>
    <row r="84" spans="1:26" x14ac:dyDescent="0.25">
      <c r="A84" s="10" t="s">
        <v>89</v>
      </c>
      <c r="B84" s="2"/>
      <c r="C84" s="2"/>
      <c r="D84" s="12"/>
      <c r="E84" s="12" t="s">
        <v>121</v>
      </c>
      <c r="F84" s="12" t="s">
        <v>129</v>
      </c>
      <c r="G84" s="12" t="s">
        <v>137</v>
      </c>
      <c r="H84" s="12" t="s">
        <v>145</v>
      </c>
      <c r="I84" s="12" t="s">
        <v>153</v>
      </c>
      <c r="J84" s="12" t="s">
        <v>161</v>
      </c>
      <c r="K84" s="12" t="s">
        <v>168</v>
      </c>
      <c r="L84" s="12" t="s">
        <v>175</v>
      </c>
      <c r="M84" s="12" t="s">
        <v>182</v>
      </c>
      <c r="N84" s="12" t="s">
        <v>189</v>
      </c>
      <c r="O84" s="12" t="s">
        <v>196</v>
      </c>
      <c r="P84" s="12" t="s">
        <v>203</v>
      </c>
      <c r="Q84" s="12" t="s">
        <v>210</v>
      </c>
      <c r="R84" s="12" t="s">
        <v>217</v>
      </c>
      <c r="S84" s="12" t="s">
        <v>224</v>
      </c>
      <c r="T84" s="12" t="s">
        <v>231</v>
      </c>
      <c r="U84" s="12" t="s">
        <v>238</v>
      </c>
      <c r="V84" s="12" t="s">
        <v>245</v>
      </c>
      <c r="W84" s="12" t="s">
        <v>252</v>
      </c>
      <c r="X84" s="12" t="s">
        <v>259</v>
      </c>
      <c r="Y84" s="12" t="s">
        <v>266</v>
      </c>
      <c r="Z84" s="12"/>
    </row>
    <row r="85" spans="1:26" x14ac:dyDescent="0.25">
      <c r="A85" s="10" t="s">
        <v>90</v>
      </c>
      <c r="B85" s="2"/>
      <c r="C85" s="2"/>
      <c r="D85" s="12"/>
      <c r="E85" s="12" t="s">
        <v>122</v>
      </c>
      <c r="F85" s="12" t="s">
        <v>130</v>
      </c>
      <c r="G85" s="12" t="s">
        <v>138</v>
      </c>
      <c r="H85" s="12" t="s">
        <v>146</v>
      </c>
      <c r="I85" s="12" t="s">
        <v>154</v>
      </c>
      <c r="J85" s="12" t="s">
        <v>92</v>
      </c>
      <c r="K85" s="12" t="s">
        <v>93</v>
      </c>
      <c r="L85" s="12" t="s">
        <v>94</v>
      </c>
      <c r="M85" s="12" t="s">
        <v>95</v>
      </c>
      <c r="N85" s="12" t="s">
        <v>96</v>
      </c>
      <c r="O85" s="12" t="s">
        <v>97</v>
      </c>
      <c r="P85" s="12" t="s">
        <v>98</v>
      </c>
      <c r="Q85" s="12" t="s">
        <v>99</v>
      </c>
      <c r="R85" s="12" t="s">
        <v>100</v>
      </c>
      <c r="S85" s="12" t="s">
        <v>101</v>
      </c>
      <c r="T85" s="12" t="s">
        <v>98</v>
      </c>
      <c r="U85" s="12" t="s">
        <v>100</v>
      </c>
      <c r="V85" s="12" t="s">
        <v>102</v>
      </c>
      <c r="W85" s="12" t="s">
        <v>103</v>
      </c>
      <c r="X85" s="12" t="s">
        <v>104</v>
      </c>
      <c r="Y85" s="12" t="s">
        <v>105</v>
      </c>
      <c r="Z85" s="12"/>
    </row>
    <row r="86" spans="1:26" x14ac:dyDescent="0.25">
      <c r="A86" s="10" t="s">
        <v>107</v>
      </c>
      <c r="B86" s="2"/>
      <c r="C86" s="2"/>
      <c r="D86" s="12"/>
      <c r="E86" s="12" t="s">
        <v>123</v>
      </c>
      <c r="F86" s="12" t="s">
        <v>131</v>
      </c>
      <c r="G86" s="12" t="s">
        <v>139</v>
      </c>
      <c r="H86" s="12" t="s">
        <v>147</v>
      </c>
      <c r="I86" s="12" t="s">
        <v>155</v>
      </c>
      <c r="J86" s="12" t="s">
        <v>162</v>
      </c>
      <c r="K86" s="12" t="s">
        <v>169</v>
      </c>
      <c r="L86" s="12" t="s">
        <v>176</v>
      </c>
      <c r="M86" s="12" t="s">
        <v>183</v>
      </c>
      <c r="N86" s="12" t="s">
        <v>190</v>
      </c>
      <c r="O86" s="12" t="s">
        <v>197</v>
      </c>
      <c r="P86" s="12" t="s">
        <v>204</v>
      </c>
      <c r="Q86" s="12" t="s">
        <v>211</v>
      </c>
      <c r="R86" s="12" t="s">
        <v>218</v>
      </c>
      <c r="S86" s="12" t="s">
        <v>225</v>
      </c>
      <c r="T86" s="12" t="s">
        <v>232</v>
      </c>
      <c r="U86" s="12" t="s">
        <v>239</v>
      </c>
      <c r="V86" s="12" t="s">
        <v>246</v>
      </c>
      <c r="W86" s="12" t="s">
        <v>253</v>
      </c>
      <c r="X86" s="12" t="s">
        <v>260</v>
      </c>
      <c r="Y86" s="12" t="s">
        <v>267</v>
      </c>
      <c r="Z86" s="12"/>
    </row>
    <row r="87" spans="1:26" x14ac:dyDescent="0.25">
      <c r="A87" s="10" t="s">
        <v>108</v>
      </c>
      <c r="B87" s="2"/>
      <c r="C87" s="2"/>
      <c r="D87" s="12"/>
      <c r="E87" s="12" t="s">
        <v>124</v>
      </c>
      <c r="F87" s="12" t="s">
        <v>132</v>
      </c>
      <c r="G87" s="12" t="s">
        <v>140</v>
      </c>
      <c r="H87" s="12" t="s">
        <v>148</v>
      </c>
      <c r="I87" s="12" t="s">
        <v>156</v>
      </c>
      <c r="J87" s="12" t="s">
        <v>163</v>
      </c>
      <c r="K87" s="12" t="s">
        <v>170</v>
      </c>
      <c r="L87" s="12" t="s">
        <v>177</v>
      </c>
      <c r="M87" s="12" t="s">
        <v>184</v>
      </c>
      <c r="N87" s="12" t="s">
        <v>191</v>
      </c>
      <c r="O87" s="12" t="s">
        <v>198</v>
      </c>
      <c r="P87" s="12" t="s">
        <v>205</v>
      </c>
      <c r="Q87" s="12" t="s">
        <v>212</v>
      </c>
      <c r="R87" s="12" t="s">
        <v>219</v>
      </c>
      <c r="S87" s="12" t="s">
        <v>226</v>
      </c>
      <c r="T87" s="12" t="s">
        <v>233</v>
      </c>
      <c r="U87" s="12" t="s">
        <v>240</v>
      </c>
      <c r="V87" s="12" t="s">
        <v>247</v>
      </c>
      <c r="W87" s="12" t="s">
        <v>254</v>
      </c>
      <c r="X87" s="12" t="s">
        <v>261</v>
      </c>
      <c r="Y87" s="12" t="s">
        <v>268</v>
      </c>
      <c r="Z87" s="12"/>
    </row>
    <row r="88" spans="1:26" x14ac:dyDescent="0.25">
      <c r="A88" s="10" t="s">
        <v>109</v>
      </c>
      <c r="B88" s="2"/>
      <c r="C88" s="2"/>
      <c r="D88" s="12"/>
      <c r="E88" s="12" t="s">
        <v>125</v>
      </c>
      <c r="F88" s="12" t="s">
        <v>133</v>
      </c>
      <c r="G88" s="12" t="s">
        <v>141</v>
      </c>
      <c r="H88" s="12" t="s">
        <v>149</v>
      </c>
      <c r="I88" s="12" t="s">
        <v>157</v>
      </c>
      <c r="J88" s="12" t="s">
        <v>164</v>
      </c>
      <c r="K88" s="12" t="s">
        <v>171</v>
      </c>
      <c r="L88" s="12" t="s">
        <v>178</v>
      </c>
      <c r="M88" s="12" t="s">
        <v>185</v>
      </c>
      <c r="N88" s="12" t="s">
        <v>192</v>
      </c>
      <c r="O88" s="12" t="s">
        <v>199</v>
      </c>
      <c r="P88" s="12" t="s">
        <v>206</v>
      </c>
      <c r="Q88" s="12" t="s">
        <v>213</v>
      </c>
      <c r="R88" s="12" t="s">
        <v>220</v>
      </c>
      <c r="S88" s="12" t="s">
        <v>227</v>
      </c>
      <c r="T88" s="12" t="s">
        <v>234</v>
      </c>
      <c r="U88" s="12" t="s">
        <v>241</v>
      </c>
      <c r="V88" s="12" t="s">
        <v>248</v>
      </c>
      <c r="W88" s="12" t="s">
        <v>255</v>
      </c>
      <c r="X88" s="12" t="s">
        <v>262</v>
      </c>
      <c r="Y88" s="12" t="s">
        <v>269</v>
      </c>
      <c r="Z88" s="12"/>
    </row>
    <row r="89" spans="1:26" x14ac:dyDescent="0.25">
      <c r="A89" s="10" t="s">
        <v>110</v>
      </c>
      <c r="B89" s="2"/>
      <c r="C89" s="2"/>
      <c r="D89" s="12"/>
      <c r="E89" s="12" t="s">
        <v>126</v>
      </c>
      <c r="F89" s="12" t="s">
        <v>134</v>
      </c>
      <c r="G89" s="12" t="s">
        <v>142</v>
      </c>
      <c r="H89" s="12" t="s">
        <v>150</v>
      </c>
      <c r="I89" s="12" t="s">
        <v>158</v>
      </c>
      <c r="J89" s="12" t="s">
        <v>165</v>
      </c>
      <c r="K89" s="12" t="s">
        <v>172</v>
      </c>
      <c r="L89" s="12" t="s">
        <v>179</v>
      </c>
      <c r="M89" s="12" t="s">
        <v>186</v>
      </c>
      <c r="N89" s="12" t="s">
        <v>193</v>
      </c>
      <c r="O89" s="12" t="s">
        <v>200</v>
      </c>
      <c r="P89" s="12" t="s">
        <v>207</v>
      </c>
      <c r="Q89" s="12" t="s">
        <v>214</v>
      </c>
      <c r="R89" s="12" t="s">
        <v>221</v>
      </c>
      <c r="S89" s="12" t="s">
        <v>228</v>
      </c>
      <c r="T89" s="12" t="s">
        <v>235</v>
      </c>
      <c r="U89" s="12" t="s">
        <v>242</v>
      </c>
      <c r="V89" s="12" t="s">
        <v>249</v>
      </c>
      <c r="W89" s="12" t="s">
        <v>256</v>
      </c>
      <c r="X89" s="12" t="s">
        <v>263</v>
      </c>
      <c r="Y89" s="12" t="s">
        <v>270</v>
      </c>
      <c r="Z89" s="12"/>
    </row>
    <row r="90" spans="1:26" x14ac:dyDescent="0.25">
      <c r="A90" s="10" t="s">
        <v>111</v>
      </c>
      <c r="B90" s="2"/>
      <c r="C90" s="2"/>
      <c r="D90" s="12"/>
      <c r="E90" s="12" t="s">
        <v>127</v>
      </c>
      <c r="F90" s="12" t="s">
        <v>135</v>
      </c>
      <c r="G90" s="12" t="s">
        <v>143</v>
      </c>
      <c r="H90" s="12" t="s">
        <v>151</v>
      </c>
      <c r="I90" s="12" t="s">
        <v>159</v>
      </c>
      <c r="J90" s="12" t="s">
        <v>166</v>
      </c>
      <c r="K90" s="12" t="s">
        <v>173</v>
      </c>
      <c r="L90" s="12" t="s">
        <v>180</v>
      </c>
      <c r="M90" s="12" t="s">
        <v>187</v>
      </c>
      <c r="N90" s="12" t="s">
        <v>194</v>
      </c>
      <c r="O90" s="12" t="s">
        <v>201</v>
      </c>
      <c r="P90" s="12" t="s">
        <v>208</v>
      </c>
      <c r="Q90" s="12" t="s">
        <v>215</v>
      </c>
      <c r="R90" s="12" t="s">
        <v>222</v>
      </c>
      <c r="S90" s="12" t="s">
        <v>229</v>
      </c>
      <c r="T90" s="12" t="s">
        <v>236</v>
      </c>
      <c r="U90" s="12" t="s">
        <v>243</v>
      </c>
      <c r="V90" s="12" t="s">
        <v>250</v>
      </c>
      <c r="W90" s="12" t="s">
        <v>257</v>
      </c>
      <c r="X90" s="12" t="s">
        <v>264</v>
      </c>
      <c r="Y90" s="12" t="s">
        <v>271</v>
      </c>
      <c r="Z90" s="12"/>
    </row>
    <row r="91" spans="1:26" x14ac:dyDescent="0.25">
      <c r="A91" s="11" t="s">
        <v>112</v>
      </c>
      <c r="B91" s="14"/>
      <c r="C91" s="14"/>
      <c r="D91" s="13"/>
      <c r="E91" s="13" t="s">
        <v>128</v>
      </c>
      <c r="F91" s="13" t="s">
        <v>136</v>
      </c>
      <c r="G91" s="13" t="s">
        <v>144</v>
      </c>
      <c r="H91" s="13" t="s">
        <v>152</v>
      </c>
      <c r="I91" s="13" t="s">
        <v>160</v>
      </c>
      <c r="J91" s="13" t="s">
        <v>167</v>
      </c>
      <c r="K91" s="13" t="s">
        <v>174</v>
      </c>
      <c r="L91" s="13" t="s">
        <v>181</v>
      </c>
      <c r="M91" s="13" t="s">
        <v>188</v>
      </c>
      <c r="N91" s="13" t="s">
        <v>195</v>
      </c>
      <c r="O91" s="13" t="s">
        <v>202</v>
      </c>
      <c r="P91" s="13" t="s">
        <v>209</v>
      </c>
      <c r="Q91" s="13" t="s">
        <v>216</v>
      </c>
      <c r="R91" s="13" t="s">
        <v>223</v>
      </c>
      <c r="S91" s="13" t="s">
        <v>230</v>
      </c>
      <c r="T91" s="13" t="s">
        <v>237</v>
      </c>
      <c r="U91" s="13" t="s">
        <v>244</v>
      </c>
      <c r="V91" s="13" t="s">
        <v>251</v>
      </c>
      <c r="W91" s="13" t="s">
        <v>258</v>
      </c>
      <c r="X91" s="13" t="s">
        <v>265</v>
      </c>
      <c r="Y91" s="13" t="s">
        <v>272</v>
      </c>
      <c r="Z91" s="13"/>
    </row>
    <row r="92" spans="1:26" x14ac:dyDescent="0.25">
      <c r="A92" s="5" t="s">
        <v>3</v>
      </c>
    </row>
    <row r="93" spans="1:26" x14ac:dyDescent="0.25">
      <c r="A93" s="10" t="s">
        <v>89</v>
      </c>
      <c r="B93" s="2"/>
      <c r="C93" s="4"/>
      <c r="D93" s="4"/>
      <c r="E93" s="18">
        <v>100</v>
      </c>
      <c r="F93" s="4">
        <f t="shared" ref="F93:F100" si="84">F84/E84*E93</f>
        <v>98.427725554477647</v>
      </c>
      <c r="G93" s="4">
        <f t="shared" ref="G93:G100" si="85">G84/F84*F93</f>
        <v>97.276954470946379</v>
      </c>
      <c r="H93" s="4">
        <f t="shared" ref="H93:H100" si="86">H84/G84*G93</f>
        <v>96.53876604333233</v>
      </c>
      <c r="I93" s="4">
        <f t="shared" ref="I93:I100" si="87">I84/H84*H93</f>
        <v>95.559718551723364</v>
      </c>
      <c r="J93" s="4">
        <f t="shared" ref="J93:J100" si="88">J84/I84*I93</f>
        <v>95.285406839951378</v>
      </c>
      <c r="K93" s="4">
        <f t="shared" ref="K93:K100" si="89">K84/J84*J93</f>
        <v>90.245207908205927</v>
      </c>
      <c r="L93" s="4">
        <f t="shared" ref="L93:L100" si="90">L84/K84*K93</f>
        <v>89.097782089452366</v>
      </c>
      <c r="M93" s="4">
        <f t="shared" ref="M93:M100" si="91">M84/L84*L93</f>
        <v>88.54135304809374</v>
      </c>
      <c r="N93" s="4">
        <f t="shared" ref="N93:N100" si="92">N84/M84*M93</f>
        <v>87.79089864962809</v>
      </c>
      <c r="O93" s="4">
        <f t="shared" ref="O93:O100" si="93">O84/N84*N93</f>
        <v>88.178949363842108</v>
      </c>
      <c r="P93" s="4">
        <f t="shared" ref="P93:P100" si="94">P84/O84*O93</f>
        <v>89.910681430435176</v>
      </c>
      <c r="Q93" s="4">
        <f t="shared" ref="Q93:Q100" si="95">Q84/P84*P93</f>
        <v>93.907157751535991</v>
      </c>
      <c r="R93" s="4">
        <f t="shared" ref="R93:R100" si="96">R84/Q84*Q93</f>
        <v>98.86818541687569</v>
      </c>
      <c r="S93" s="4">
        <f t="shared" ref="S93:S100" si="97">S84/R84*R93</f>
        <v>102.30823269661788</v>
      </c>
      <c r="T93" s="4">
        <f t="shared" ref="T93:T100" si="98">T84/S84*S93</f>
        <v>107.78220096120602</v>
      </c>
      <c r="U93" s="4">
        <f t="shared" ref="U93:U100" si="99">U84/T84*T93</f>
        <v>109.72914506183159</v>
      </c>
      <c r="V93" s="4">
        <f t="shared" ref="V93:V100" si="100">V84/U84*U93</f>
        <v>113.2137958719432</v>
      </c>
      <c r="W93" s="4">
        <f t="shared" ref="W93:W100" si="101">W84/V84*V93</f>
        <v>112.00838546370939</v>
      </c>
      <c r="X93" s="4">
        <f t="shared" ref="X93:X100" si="102">X84/W84*W93</f>
        <v>111.32037600776096</v>
      </c>
      <c r="Y93" s="4">
        <f t="shared" ref="Y93:Y100" si="103">Y84/X84*X93</f>
        <v>110.67697008218195</v>
      </c>
      <c r="Z93" s="4"/>
    </row>
    <row r="94" spans="1:26" x14ac:dyDescent="0.25">
      <c r="A94" s="10" t="s">
        <v>90</v>
      </c>
      <c r="B94" s="2"/>
      <c r="C94" s="4"/>
      <c r="D94" s="4"/>
      <c r="E94" s="18">
        <v>100</v>
      </c>
      <c r="F94" s="4">
        <f t="shared" si="84"/>
        <v>91.917973462002408</v>
      </c>
      <c r="G94" s="4">
        <f t="shared" si="85"/>
        <v>81.724969843184553</v>
      </c>
      <c r="H94" s="4">
        <f t="shared" si="86"/>
        <v>74.185765983112177</v>
      </c>
      <c r="I94" s="4">
        <f t="shared" si="87"/>
        <v>68.817852834740648</v>
      </c>
      <c r="J94" s="4">
        <f t="shared" si="88"/>
        <v>44.451145958986729</v>
      </c>
      <c r="K94" s="4">
        <f t="shared" si="89"/>
        <v>42.279855247285887</v>
      </c>
      <c r="L94" s="4">
        <f t="shared" si="90"/>
        <v>40.108564535585039</v>
      </c>
      <c r="M94" s="4">
        <f t="shared" si="91"/>
        <v>39.022919179734615</v>
      </c>
      <c r="N94" s="4">
        <f t="shared" si="92"/>
        <v>37.394451145958982</v>
      </c>
      <c r="O94" s="4">
        <f t="shared" si="93"/>
        <v>35.765983112183349</v>
      </c>
      <c r="P94" s="4">
        <f t="shared" si="94"/>
        <v>34.016887816646559</v>
      </c>
      <c r="Q94" s="4">
        <f t="shared" si="95"/>
        <v>35.162846803377562</v>
      </c>
      <c r="R94" s="4">
        <f t="shared" si="96"/>
        <v>33.353437876960193</v>
      </c>
      <c r="S94" s="4">
        <f t="shared" si="97"/>
        <v>34.31845597104946</v>
      </c>
      <c r="T94" s="4">
        <f t="shared" si="98"/>
        <v>34.016887816646566</v>
      </c>
      <c r="U94" s="4">
        <f t="shared" si="99"/>
        <v>33.3534378769602</v>
      </c>
      <c r="V94" s="4">
        <f t="shared" si="100"/>
        <v>32.810615199034984</v>
      </c>
      <c r="W94" s="4">
        <f t="shared" si="101"/>
        <v>31.785283474065142</v>
      </c>
      <c r="X94" s="4">
        <f t="shared" si="102"/>
        <v>31.845597104945725</v>
      </c>
      <c r="Y94" s="4">
        <f t="shared" si="103"/>
        <v>30.880579010856462</v>
      </c>
      <c r="Z94" s="4"/>
    </row>
    <row r="95" spans="1:26" x14ac:dyDescent="0.25">
      <c r="A95" s="10" t="s">
        <v>107</v>
      </c>
      <c r="B95" s="2"/>
      <c r="C95" s="4"/>
      <c r="D95" s="4"/>
      <c r="E95" s="18">
        <v>100</v>
      </c>
      <c r="F95" s="4">
        <f t="shared" si="84"/>
        <v>100.1375507801344</v>
      </c>
      <c r="G95" s="4">
        <f t="shared" si="85"/>
        <v>101.30206967296719</v>
      </c>
      <c r="H95" s="4">
        <f t="shared" si="86"/>
        <v>105.09229307641645</v>
      </c>
      <c r="I95" s="4">
        <f t="shared" si="87"/>
        <v>109.80632150746331</v>
      </c>
      <c r="J95" s="4">
        <f t="shared" si="88"/>
        <v>112.1481818234804</v>
      </c>
      <c r="K95" s="4">
        <f t="shared" si="89"/>
        <v>110.76975981069285</v>
      </c>
      <c r="L95" s="4">
        <f t="shared" si="90"/>
        <v>119.00065861178625</v>
      </c>
      <c r="M95" s="4">
        <f t="shared" si="91"/>
        <v>122.04892378171391</v>
      </c>
      <c r="N95" s="4">
        <f t="shared" si="92"/>
        <v>125.40143262634565</v>
      </c>
      <c r="O95" s="4">
        <f t="shared" si="93"/>
        <v>126.91274268095798</v>
      </c>
      <c r="P95" s="4">
        <f t="shared" si="94"/>
        <v>129.10830958251009</v>
      </c>
      <c r="Q95" s="4">
        <f t="shared" si="95"/>
        <v>129.13686885465663</v>
      </c>
      <c r="R95" s="4">
        <f t="shared" si="96"/>
        <v>136.52148065255025</v>
      </c>
      <c r="S95" s="4">
        <f t="shared" si="97"/>
        <v>141.81019158026032</v>
      </c>
      <c r="T95" s="4">
        <f t="shared" si="98"/>
        <v>146.76551671883109</v>
      </c>
      <c r="U95" s="4">
        <f t="shared" si="99"/>
        <v>153.98110425300024</v>
      </c>
      <c r="V95" s="4">
        <f t="shared" si="100"/>
        <v>161.02650183886746</v>
      </c>
      <c r="W95" s="4">
        <f t="shared" si="101"/>
        <v>170.26280358797717</v>
      </c>
      <c r="X95" s="4">
        <f t="shared" si="102"/>
        <v>175.97232664813234</v>
      </c>
      <c r="Y95" s="4">
        <f t="shared" si="103"/>
        <v>178.86439008468705</v>
      </c>
      <c r="Z95" s="4"/>
    </row>
    <row r="96" spans="1:26" x14ac:dyDescent="0.25">
      <c r="A96" s="10" t="s">
        <v>108</v>
      </c>
      <c r="B96" s="2"/>
      <c r="C96" s="4"/>
      <c r="D96" s="4"/>
      <c r="E96" s="18">
        <v>100</v>
      </c>
      <c r="F96" s="4">
        <f t="shared" si="84"/>
        <v>99.52575429721719</v>
      </c>
      <c r="G96" s="4">
        <f t="shared" si="85"/>
        <v>99.084575267288955</v>
      </c>
      <c r="H96" s="4">
        <f t="shared" si="86"/>
        <v>98.41454005418295</v>
      </c>
      <c r="I96" s="4">
        <f t="shared" si="87"/>
        <v>99.503129731579861</v>
      </c>
      <c r="J96" s="4">
        <f t="shared" si="88"/>
        <v>100.07425498465594</v>
      </c>
      <c r="K96" s="4">
        <f t="shared" si="89"/>
        <v>98.670661739539071</v>
      </c>
      <c r="L96" s="4">
        <f t="shared" si="90"/>
        <v>98.808439543099837</v>
      </c>
      <c r="M96" s="4">
        <f t="shared" si="91"/>
        <v>98.090544671914827</v>
      </c>
      <c r="N96" s="4">
        <f t="shared" si="92"/>
        <v>97.854146966857954</v>
      </c>
      <c r="O96" s="4">
        <f t="shared" si="93"/>
        <v>97.316668503704079</v>
      </c>
      <c r="P96" s="4">
        <f t="shared" si="94"/>
        <v>96.734230967809339</v>
      </c>
      <c r="Q96" s="4">
        <f t="shared" si="95"/>
        <v>96.076378213123448</v>
      </c>
      <c r="R96" s="4">
        <f t="shared" si="96"/>
        <v>95.443180433811577</v>
      </c>
      <c r="S96" s="4">
        <f t="shared" si="97"/>
        <v>95.731498616420822</v>
      </c>
      <c r="T96" s="4">
        <f t="shared" si="98"/>
        <v>94.875245824607433</v>
      </c>
      <c r="U96" s="4">
        <f t="shared" si="99"/>
        <v>95.680448314469885</v>
      </c>
      <c r="V96" s="4">
        <f t="shared" si="100"/>
        <v>96.722048509389211</v>
      </c>
      <c r="W96" s="4">
        <f t="shared" si="101"/>
        <v>98.465590356133887</v>
      </c>
      <c r="X96" s="4">
        <f t="shared" si="102"/>
        <v>98.219910777995011</v>
      </c>
      <c r="Y96" s="4">
        <f t="shared" si="103"/>
        <v>97.644724705445569</v>
      </c>
      <c r="Z96" s="4"/>
    </row>
    <row r="97" spans="1:26" x14ac:dyDescent="0.25">
      <c r="A97" s="10" t="s">
        <v>109</v>
      </c>
      <c r="B97" s="2"/>
      <c r="C97" s="4"/>
      <c r="D97" s="4"/>
      <c r="E97" s="18">
        <v>100</v>
      </c>
      <c r="F97" s="4">
        <f t="shared" si="84"/>
        <v>103.02963610774871</v>
      </c>
      <c r="G97" s="4">
        <f t="shared" si="85"/>
        <v>106.81161350855145</v>
      </c>
      <c r="H97" s="4">
        <f t="shared" si="86"/>
        <v>111.39110743016663</v>
      </c>
      <c r="I97" s="4">
        <f t="shared" si="87"/>
        <v>117.38319597361303</v>
      </c>
      <c r="J97" s="4">
        <f t="shared" si="88"/>
        <v>123.30868001459508</v>
      </c>
      <c r="K97" s="4">
        <f t="shared" si="89"/>
        <v>132.1329078367437</v>
      </c>
      <c r="L97" s="4">
        <f t="shared" si="90"/>
        <v>139.69280845124263</v>
      </c>
      <c r="M97" s="4">
        <f t="shared" si="91"/>
        <v>145.64030093651724</v>
      </c>
      <c r="N97" s="4">
        <f t="shared" si="92"/>
        <v>152.75539930847151</v>
      </c>
      <c r="O97" s="4">
        <f t="shared" si="93"/>
        <v>158.93571796757809</v>
      </c>
      <c r="P97" s="4">
        <f t="shared" si="94"/>
        <v>165.65176849433283</v>
      </c>
      <c r="Q97" s="4">
        <f t="shared" si="95"/>
        <v>170.9586994167762</v>
      </c>
      <c r="R97" s="4">
        <f t="shared" si="96"/>
        <v>182.07585963245896</v>
      </c>
      <c r="S97" s="4">
        <f t="shared" si="97"/>
        <v>190.6996947776278</v>
      </c>
      <c r="T97" s="4">
        <f t="shared" si="98"/>
        <v>198.03893177961436</v>
      </c>
      <c r="U97" s="4">
        <f t="shared" si="99"/>
        <v>208.18714127683722</v>
      </c>
      <c r="V97" s="4">
        <f t="shared" si="100"/>
        <v>216.85151829307136</v>
      </c>
      <c r="W97" s="4">
        <f t="shared" si="101"/>
        <v>228.12215844921548</v>
      </c>
      <c r="X97" s="4">
        <f t="shared" si="102"/>
        <v>238.55242353513529</v>
      </c>
      <c r="Y97" s="4">
        <f t="shared" si="103"/>
        <v>247.95697928310383</v>
      </c>
      <c r="Z97" s="4"/>
    </row>
    <row r="98" spans="1:26" x14ac:dyDescent="0.25">
      <c r="A98" s="10" t="s">
        <v>110</v>
      </c>
      <c r="B98" s="2"/>
      <c r="C98" s="4"/>
      <c r="D98" s="4"/>
      <c r="E98" s="18">
        <v>100</v>
      </c>
      <c r="F98" s="4">
        <f t="shared" si="84"/>
        <v>100.68372596804767</v>
      </c>
      <c r="G98" s="4">
        <f t="shared" si="85"/>
        <v>102.55618738153264</v>
      </c>
      <c r="H98" s="4">
        <f t="shared" si="86"/>
        <v>104.77525047386949</v>
      </c>
      <c r="I98" s="4">
        <f t="shared" si="87"/>
        <v>108.29406986190091</v>
      </c>
      <c r="J98" s="4">
        <f t="shared" si="88"/>
        <v>112.1148118061197</v>
      </c>
      <c r="K98" s="4">
        <f t="shared" si="89"/>
        <v>113.67993501218524</v>
      </c>
      <c r="L98" s="4">
        <f t="shared" si="90"/>
        <v>104.7833739507176</v>
      </c>
      <c r="M98" s="4">
        <f t="shared" si="91"/>
        <v>105.87733549959384</v>
      </c>
      <c r="N98" s="4">
        <f t="shared" si="92"/>
        <v>107.11887354454376</v>
      </c>
      <c r="O98" s="4">
        <f t="shared" si="93"/>
        <v>108.16409423233148</v>
      </c>
      <c r="P98" s="4">
        <f t="shared" si="94"/>
        <v>108.22095857026812</v>
      </c>
      <c r="Q98" s="4">
        <f t="shared" si="95"/>
        <v>115.23558082859469</v>
      </c>
      <c r="R98" s="4">
        <f t="shared" si="96"/>
        <v>108.76929325751428</v>
      </c>
      <c r="S98" s="4">
        <f t="shared" si="97"/>
        <v>110.01353912808023</v>
      </c>
      <c r="T98" s="4">
        <f t="shared" si="98"/>
        <v>110.39669645274851</v>
      </c>
      <c r="U98" s="4">
        <f t="shared" si="99"/>
        <v>113.48226374221507</v>
      </c>
      <c r="V98" s="4">
        <f t="shared" si="100"/>
        <v>115.15163823449777</v>
      </c>
      <c r="W98" s="4">
        <f t="shared" si="101"/>
        <v>117.51556999729225</v>
      </c>
      <c r="X98" s="4">
        <f t="shared" si="102"/>
        <v>118.55266720823185</v>
      </c>
      <c r="Y98" s="4">
        <f t="shared" si="103"/>
        <v>118.62442458705665</v>
      </c>
      <c r="Z98" s="4"/>
    </row>
    <row r="99" spans="1:26" x14ac:dyDescent="0.25">
      <c r="A99" s="10" t="s">
        <v>111</v>
      </c>
      <c r="B99" s="2"/>
      <c r="C99" s="4"/>
      <c r="D99" s="4"/>
      <c r="E99" s="18">
        <v>100</v>
      </c>
      <c r="F99" s="4">
        <f t="shared" si="84"/>
        <v>110.90835360908353</v>
      </c>
      <c r="G99" s="4">
        <f t="shared" si="85"/>
        <v>125.58799675587996</v>
      </c>
      <c r="H99" s="4">
        <f t="shared" si="86"/>
        <v>141.88969991889698</v>
      </c>
      <c r="I99" s="4">
        <f t="shared" si="87"/>
        <v>162.69261962692616</v>
      </c>
      <c r="J99" s="4">
        <f t="shared" si="88"/>
        <v>187.10462287104619</v>
      </c>
      <c r="K99" s="4">
        <f t="shared" si="89"/>
        <v>433.00892133008915</v>
      </c>
      <c r="L99" s="4">
        <f t="shared" si="90"/>
        <v>349.02676399026757</v>
      </c>
      <c r="M99" s="4">
        <f t="shared" si="91"/>
        <v>511.07055961070546</v>
      </c>
      <c r="N99" s="4">
        <f t="shared" si="92"/>
        <v>561.03000811029983</v>
      </c>
      <c r="O99" s="4">
        <f t="shared" si="93"/>
        <v>562.24655312246523</v>
      </c>
      <c r="P99" s="4">
        <f t="shared" si="94"/>
        <v>557.38037307380341</v>
      </c>
      <c r="Q99" s="4">
        <f t="shared" si="95"/>
        <v>713.05758313057538</v>
      </c>
      <c r="R99" s="4">
        <f t="shared" si="96"/>
        <v>458.71857258718541</v>
      </c>
      <c r="S99" s="4">
        <f t="shared" si="97"/>
        <v>469.38361719383585</v>
      </c>
      <c r="T99" s="4">
        <f t="shared" si="98"/>
        <v>529.15652879156494</v>
      </c>
      <c r="U99" s="4">
        <f t="shared" si="99"/>
        <v>353.85239253852365</v>
      </c>
      <c r="V99" s="4">
        <f t="shared" si="100"/>
        <v>465.12570965125667</v>
      </c>
      <c r="W99" s="4">
        <f t="shared" si="101"/>
        <v>696.51257096512506</v>
      </c>
      <c r="X99" s="4">
        <f t="shared" si="102"/>
        <v>689.57826439578196</v>
      </c>
      <c r="Y99" s="4">
        <f t="shared" si="103"/>
        <v>816.78832116788237</v>
      </c>
      <c r="Z99" s="4"/>
    </row>
    <row r="100" spans="1:26" x14ac:dyDescent="0.25">
      <c r="A100" s="11" t="s">
        <v>112</v>
      </c>
      <c r="B100" s="2"/>
      <c r="C100" s="4"/>
      <c r="D100" s="4"/>
      <c r="E100" s="18">
        <v>100</v>
      </c>
      <c r="F100" s="4">
        <f t="shared" si="84"/>
        <v>100.35743677443078</v>
      </c>
      <c r="G100" s="4">
        <f t="shared" si="85"/>
        <v>101.23888846735268</v>
      </c>
      <c r="H100" s="4">
        <f t="shared" si="86"/>
        <v>102.7977423817056</v>
      </c>
      <c r="I100" s="4">
        <f t="shared" si="87"/>
        <v>105.63809234756118</v>
      </c>
      <c r="J100" s="4">
        <f t="shared" si="88"/>
        <v>107.8550875206472</v>
      </c>
      <c r="K100" s="4">
        <f t="shared" si="89"/>
        <v>109.10366483590248</v>
      </c>
      <c r="L100" s="4">
        <f t="shared" si="90"/>
        <v>111.19820697947253</v>
      </c>
      <c r="M100" s="4">
        <f t="shared" si="91"/>
        <v>113.21897379925413</v>
      </c>
      <c r="N100" s="4">
        <f t="shared" si="92"/>
        <v>115.39849764490963</v>
      </c>
      <c r="O100" s="4">
        <f t="shared" si="93"/>
        <v>116.86163041130918</v>
      </c>
      <c r="P100" s="4">
        <f t="shared" si="94"/>
        <v>118.58939713186763</v>
      </c>
      <c r="Q100" s="4">
        <f t="shared" si="95"/>
        <v>120.87351384162828</v>
      </c>
      <c r="R100" s="4">
        <f t="shared" si="96"/>
        <v>123.56456216329804</v>
      </c>
      <c r="S100" s="4">
        <f t="shared" si="97"/>
        <v>126.97795495269399</v>
      </c>
      <c r="T100" s="4">
        <f t="shared" si="98"/>
        <v>129.88262486064994</v>
      </c>
      <c r="U100" s="4">
        <f t="shared" si="99"/>
        <v>133.66115880955587</v>
      </c>
      <c r="V100" s="4">
        <f t="shared" si="100"/>
        <v>138.06573241269834</v>
      </c>
      <c r="W100" s="4">
        <f t="shared" si="101"/>
        <v>143.63063310200735</v>
      </c>
      <c r="X100" s="4">
        <f t="shared" si="102"/>
        <v>146.77507281227577</v>
      </c>
      <c r="Y100" s="4">
        <f t="shared" si="103"/>
        <v>149.32148881405013</v>
      </c>
      <c r="Z100" s="4"/>
    </row>
    <row r="101" spans="1:26" x14ac:dyDescent="0.25">
      <c r="A101" s="15" t="s">
        <v>9</v>
      </c>
    </row>
    <row r="102" spans="1:26" x14ac:dyDescent="0.25">
      <c r="A102" s="10" t="s">
        <v>281</v>
      </c>
      <c r="B102" s="7"/>
      <c r="C102" s="7"/>
      <c r="D102" s="7"/>
      <c r="E102" s="7">
        <f t="shared" ref="C102:Z102" si="104">(E84+E85)/E$36</f>
        <v>0.10662051817826312</v>
      </c>
      <c r="F102" s="7">
        <f t="shared" si="104"/>
        <v>0.104444834753762</v>
      </c>
      <c r="G102" s="7">
        <f t="shared" si="104"/>
        <v>0.10215066161786207</v>
      </c>
      <c r="H102" s="7">
        <f t="shared" si="104"/>
        <v>9.9707933710490998E-2</v>
      </c>
      <c r="I102" s="7">
        <f t="shared" si="104"/>
        <v>9.5958468607244121E-2</v>
      </c>
      <c r="J102" s="7">
        <f t="shared" si="104"/>
        <v>9.3282507852190499E-2</v>
      </c>
      <c r="K102" s="7">
        <f t="shared" si="104"/>
        <v>8.7340393434063524E-2</v>
      </c>
      <c r="L102" s="7">
        <f t="shared" si="104"/>
        <v>8.4577229328616346E-2</v>
      </c>
      <c r="M102" s="7">
        <f t="shared" si="104"/>
        <v>8.2534622268779334E-2</v>
      </c>
      <c r="N102" s="7">
        <f t="shared" si="104"/>
        <v>8.0267700621202198E-2</v>
      </c>
      <c r="O102" s="7">
        <f t="shared" si="104"/>
        <v>7.9583378700051249E-2</v>
      </c>
      <c r="P102" s="7">
        <f t="shared" si="104"/>
        <v>7.9924047792011441E-2</v>
      </c>
      <c r="Q102" s="7">
        <f t="shared" si="104"/>
        <v>8.1893325633118907E-2</v>
      </c>
      <c r="R102" s="7">
        <f t="shared" si="104"/>
        <v>8.4284502353281276E-2</v>
      </c>
      <c r="S102" s="7">
        <f t="shared" si="104"/>
        <v>8.4869590158885719E-2</v>
      </c>
      <c r="T102" s="7">
        <f t="shared" si="104"/>
        <v>8.737909451883169E-2</v>
      </c>
      <c r="U102" s="7">
        <f t="shared" si="104"/>
        <v>8.6424195316218561E-2</v>
      </c>
      <c r="V102" s="7">
        <f t="shared" si="104"/>
        <v>8.6301635091866641E-2</v>
      </c>
      <c r="W102" s="7">
        <f t="shared" si="104"/>
        <v>8.2065540275304591E-2</v>
      </c>
      <c r="X102" s="7">
        <f t="shared" si="104"/>
        <v>7.9817490034644126E-2</v>
      </c>
      <c r="Y102" s="7">
        <f t="shared" si="104"/>
        <v>7.7992760930916144E-2</v>
      </c>
      <c r="Z102" s="7"/>
    </row>
    <row r="103" spans="1:26" x14ac:dyDescent="0.25">
      <c r="A103" s="10" t="s">
        <v>107</v>
      </c>
      <c r="B103" s="7"/>
      <c r="C103" s="7"/>
      <c r="D103" s="7"/>
      <c r="E103" s="7">
        <f t="shared" ref="B103:Z103" si="105">E86/E$36</f>
        <v>0.20028249411956972</v>
      </c>
      <c r="F103" s="7">
        <f t="shared" si="105"/>
        <v>0.19984366948658686</v>
      </c>
      <c r="G103" s="7">
        <f t="shared" si="105"/>
        <v>0.20040748649782997</v>
      </c>
      <c r="H103" s="7">
        <f t="shared" si="105"/>
        <v>0.20475300412662867</v>
      </c>
      <c r="I103" s="7">
        <f t="shared" si="105"/>
        <v>0.20818516742287455</v>
      </c>
      <c r="J103" s="7">
        <f t="shared" si="105"/>
        <v>0.20825459496550663</v>
      </c>
      <c r="K103" s="7">
        <f t="shared" si="105"/>
        <v>0.20334095835624763</v>
      </c>
      <c r="L103" s="7">
        <f t="shared" si="105"/>
        <v>0.21433572857015384</v>
      </c>
      <c r="M103" s="7">
        <f t="shared" si="105"/>
        <v>0.21590252975576762</v>
      </c>
      <c r="N103" s="7">
        <f t="shared" si="105"/>
        <v>0.21764331603219611</v>
      </c>
      <c r="O103" s="7">
        <f t="shared" si="105"/>
        <v>0.21750852311604923</v>
      </c>
      <c r="P103" s="7">
        <f t="shared" si="105"/>
        <v>0.21804760695421407</v>
      </c>
      <c r="Q103" s="7">
        <f t="shared" si="105"/>
        <v>0.21397453714210662</v>
      </c>
      <c r="R103" s="7">
        <f t="shared" si="105"/>
        <v>0.22128401677055365</v>
      </c>
      <c r="S103" s="7">
        <f t="shared" si="105"/>
        <v>0.22367740031606151</v>
      </c>
      <c r="T103" s="7">
        <f t="shared" si="105"/>
        <v>0.22631636657121851</v>
      </c>
      <c r="U103" s="7">
        <f t="shared" si="105"/>
        <v>0.2307306017825094</v>
      </c>
      <c r="V103" s="7">
        <f t="shared" si="105"/>
        <v>0.23359010845091976</v>
      </c>
      <c r="W103" s="7">
        <f t="shared" si="105"/>
        <v>0.23741912307921123</v>
      </c>
      <c r="X103" s="7">
        <f t="shared" si="105"/>
        <v>0.24012371993293866</v>
      </c>
      <c r="Y103" s="7">
        <f t="shared" si="105"/>
        <v>0.23990790903476472</v>
      </c>
      <c r="Z103" s="7"/>
    </row>
    <row r="104" spans="1:26" x14ac:dyDescent="0.25">
      <c r="A104" s="10" t="s">
        <v>108</v>
      </c>
      <c r="B104" s="7"/>
      <c r="C104" s="7"/>
      <c r="D104" s="7"/>
      <c r="E104" s="7">
        <f t="shared" ref="B104:Z104" si="106">E87/E$36</f>
        <v>0.4024467259281741</v>
      </c>
      <c r="F104" s="7">
        <f t="shared" si="106"/>
        <v>0.39911156810904053</v>
      </c>
      <c r="G104" s="7">
        <f t="shared" si="106"/>
        <v>0.39388285973885812</v>
      </c>
      <c r="H104" s="7">
        <f t="shared" si="106"/>
        <v>0.3852867632196334</v>
      </c>
      <c r="I104" s="7">
        <f t="shared" si="106"/>
        <v>0.37907451649476104</v>
      </c>
      <c r="J104" s="7">
        <f t="shared" si="106"/>
        <v>0.3734135977643715</v>
      </c>
      <c r="K104" s="7">
        <f t="shared" si="106"/>
        <v>0.36396288632438945</v>
      </c>
      <c r="L104" s="7">
        <f t="shared" si="106"/>
        <v>0.35760588293958018</v>
      </c>
      <c r="M104" s="7">
        <f t="shared" si="106"/>
        <v>0.34867140394434043</v>
      </c>
      <c r="N104" s="7">
        <f t="shared" si="106"/>
        <v>0.34126164438019879</v>
      </c>
      <c r="O104" s="7">
        <f t="shared" si="106"/>
        <v>0.33513801304763458</v>
      </c>
      <c r="P104" s="7">
        <f t="shared" si="106"/>
        <v>0.32827871192300045</v>
      </c>
      <c r="Q104" s="7">
        <f t="shared" si="106"/>
        <v>0.31988499897148054</v>
      </c>
      <c r="R104" s="7">
        <f t="shared" si="106"/>
        <v>0.31085608045935748</v>
      </c>
      <c r="S104" s="7">
        <f t="shared" si="106"/>
        <v>0.30341351930521632</v>
      </c>
      <c r="T104" s="7">
        <f t="shared" si="106"/>
        <v>0.29397490306890062</v>
      </c>
      <c r="U104" s="7">
        <f t="shared" si="106"/>
        <v>0.28808880233010048</v>
      </c>
      <c r="V104" s="7">
        <f t="shared" si="106"/>
        <v>0.28193434436950593</v>
      </c>
      <c r="W104" s="7">
        <f t="shared" si="106"/>
        <v>0.27589625972940923</v>
      </c>
      <c r="X104" s="7">
        <f t="shared" si="106"/>
        <v>0.26931195301887451</v>
      </c>
      <c r="Y104" s="7">
        <f t="shared" si="106"/>
        <v>0.2631690862043356</v>
      </c>
      <c r="Z104" s="7"/>
    </row>
    <row r="105" spans="1:26" x14ac:dyDescent="0.25">
      <c r="A105" s="10" t="s">
        <v>109</v>
      </c>
      <c r="B105" s="7"/>
      <c r="C105" s="7"/>
      <c r="D105" s="7"/>
      <c r="E105" s="7">
        <f t="shared" ref="B105:Z105" si="107">E88/E$36</f>
        <v>0.20155255032656086</v>
      </c>
      <c r="F105" s="7">
        <f t="shared" si="107"/>
        <v>0.20691925366137925</v>
      </c>
      <c r="G105" s="7">
        <f t="shared" si="107"/>
        <v>0.212647071032253</v>
      </c>
      <c r="H105" s="7">
        <f t="shared" si="107"/>
        <v>0.21840131180006858</v>
      </c>
      <c r="I105" s="7">
        <f t="shared" si="107"/>
        <v>0.22396165992967598</v>
      </c>
      <c r="J105" s="7">
        <f t="shared" si="107"/>
        <v>0.23043121567710667</v>
      </c>
      <c r="K105" s="7">
        <f t="shared" si="107"/>
        <v>0.24409560024051991</v>
      </c>
      <c r="L105" s="7">
        <f t="shared" si="107"/>
        <v>0.25320050179249098</v>
      </c>
      <c r="M105" s="7">
        <f t="shared" si="107"/>
        <v>0.25926903503055998</v>
      </c>
      <c r="N105" s="7">
        <f t="shared" si="107"/>
        <v>0.26679931658653383</v>
      </c>
      <c r="O105" s="7">
        <f t="shared" si="107"/>
        <v>0.27411819586635117</v>
      </c>
      <c r="P105" s="7">
        <f t="shared" si="107"/>
        <v>0.28153896734133804</v>
      </c>
      <c r="Q105" s="7">
        <f t="shared" si="107"/>
        <v>0.28506792574186191</v>
      </c>
      <c r="R105" s="7">
        <f t="shared" si="107"/>
        <v>0.2969933548853968</v>
      </c>
      <c r="S105" s="7">
        <f t="shared" si="107"/>
        <v>0.30269828997676884</v>
      </c>
      <c r="T105" s="7">
        <f t="shared" si="107"/>
        <v>0.30731787109287229</v>
      </c>
      <c r="U105" s="7">
        <f t="shared" si="107"/>
        <v>0.31393300524447276</v>
      </c>
      <c r="V105" s="7">
        <f t="shared" si="107"/>
        <v>0.3165664339034468</v>
      </c>
      <c r="W105" s="7">
        <f t="shared" si="107"/>
        <v>0.32011696828478753</v>
      </c>
      <c r="X105" s="7">
        <f t="shared" si="107"/>
        <v>0.32758184635059601</v>
      </c>
      <c r="Y105" s="7">
        <f t="shared" si="107"/>
        <v>0.3346896815904063</v>
      </c>
      <c r="Z105" s="7"/>
    </row>
    <row r="106" spans="1:26" x14ac:dyDescent="0.25">
      <c r="A106" s="10" t="s">
        <v>110</v>
      </c>
      <c r="B106" s="7"/>
      <c r="C106" s="7"/>
      <c r="D106" s="7"/>
      <c r="E106" s="7">
        <f t="shared" ref="B106:Z106" si="108">E89/E$36</f>
        <v>8.6219073022395246E-2</v>
      </c>
      <c r="F106" s="7">
        <f t="shared" si="108"/>
        <v>8.6499394568212568E-2</v>
      </c>
      <c r="G106" s="7">
        <f t="shared" si="108"/>
        <v>8.7340937288127779E-2</v>
      </c>
      <c r="H106" s="7">
        <f t="shared" si="108"/>
        <v>8.7877659199974562E-2</v>
      </c>
      <c r="I106" s="7">
        <f t="shared" si="108"/>
        <v>8.8386813031380601E-2</v>
      </c>
      <c r="J106" s="7">
        <f t="shared" si="108"/>
        <v>8.9624285401960727E-2</v>
      </c>
      <c r="K106" s="7">
        <f t="shared" si="108"/>
        <v>8.9835466413878254E-2</v>
      </c>
      <c r="L106" s="7">
        <f t="shared" si="108"/>
        <v>8.1245243206642975E-2</v>
      </c>
      <c r="M106" s="7">
        <f t="shared" si="108"/>
        <v>8.0628232305319333E-2</v>
      </c>
      <c r="N106" s="7">
        <f t="shared" si="108"/>
        <v>8.0033017488951183E-2</v>
      </c>
      <c r="O106" s="7">
        <f t="shared" si="108"/>
        <v>7.9802137846231302E-2</v>
      </c>
      <c r="P106" s="7">
        <f t="shared" si="108"/>
        <v>7.8680817637921771E-2</v>
      </c>
      <c r="Q106" s="7">
        <f t="shared" si="108"/>
        <v>8.2197535609467784E-2</v>
      </c>
      <c r="R106" s="7">
        <f t="shared" si="108"/>
        <v>7.5895446669979466E-2</v>
      </c>
      <c r="S106" s="7">
        <f t="shared" si="108"/>
        <v>7.4700095517130111E-2</v>
      </c>
      <c r="T106" s="7">
        <f t="shared" si="108"/>
        <v>7.3283865667966269E-2</v>
      </c>
      <c r="U106" s="7">
        <f t="shared" si="108"/>
        <v>7.3202534464614E-2</v>
      </c>
      <c r="V106" s="7">
        <f t="shared" si="108"/>
        <v>7.1909715264549395E-2</v>
      </c>
      <c r="W106" s="7">
        <f t="shared" si="108"/>
        <v>7.0542636288938976E-2</v>
      </c>
      <c r="X106" s="7">
        <f t="shared" si="108"/>
        <v>6.9640579119994661E-2</v>
      </c>
      <c r="Y106" s="7">
        <f t="shared" si="108"/>
        <v>6.8494414346803006E-2</v>
      </c>
      <c r="Z106" s="7"/>
    </row>
    <row r="107" spans="1:26" x14ac:dyDescent="0.25">
      <c r="A107" s="10" t="s">
        <v>111</v>
      </c>
      <c r="B107" s="7"/>
      <c r="C107" s="7"/>
      <c r="D107" s="7"/>
      <c r="E107" s="7">
        <f t="shared" ref="B107:Z107" si="109">E90/E$36</f>
        <v>2.8786384250369169E-3</v>
      </c>
      <c r="F107" s="7">
        <f t="shared" si="109"/>
        <v>3.1812794210187771E-3</v>
      </c>
      <c r="G107" s="7">
        <f t="shared" si="109"/>
        <v>3.5709838250690676E-3</v>
      </c>
      <c r="H107" s="7">
        <f t="shared" si="109"/>
        <v>3.9733279432037812E-3</v>
      </c>
      <c r="I107" s="7">
        <f t="shared" si="109"/>
        <v>4.4333745140636982E-3</v>
      </c>
      <c r="J107" s="7">
        <f t="shared" si="109"/>
        <v>4.9937983388639593E-3</v>
      </c>
      <c r="K107" s="7">
        <f t="shared" si="109"/>
        <v>1.1424695230901243E-2</v>
      </c>
      <c r="L107" s="7">
        <f t="shared" si="109"/>
        <v>9.0354141625156818E-3</v>
      </c>
      <c r="M107" s="7">
        <f t="shared" si="109"/>
        <v>1.2994176695233303E-2</v>
      </c>
      <c r="N107" s="7">
        <f t="shared" si="109"/>
        <v>1.3995004890917864E-2</v>
      </c>
      <c r="O107" s="7">
        <f t="shared" si="109"/>
        <v>1.3849751423682525E-2</v>
      </c>
      <c r="P107" s="7">
        <f t="shared" si="109"/>
        <v>1.3529848351514221E-2</v>
      </c>
      <c r="Q107" s="7">
        <f t="shared" si="109"/>
        <v>1.698167690196423E-2</v>
      </c>
      <c r="R107" s="7">
        <f t="shared" si="109"/>
        <v>1.0686598861431317E-2</v>
      </c>
      <c r="S107" s="7">
        <f t="shared" si="109"/>
        <v>1.0641104725937543E-2</v>
      </c>
      <c r="T107" s="7">
        <f t="shared" si="109"/>
        <v>1.1727899080210597E-2</v>
      </c>
      <c r="U107" s="7">
        <f t="shared" si="109"/>
        <v>7.6208608620847761E-3</v>
      </c>
      <c r="V107" s="7">
        <f t="shared" si="109"/>
        <v>9.6977629197114845E-3</v>
      </c>
      <c r="W107" s="7">
        <f t="shared" si="109"/>
        <v>1.3959472342348419E-2</v>
      </c>
      <c r="X107" s="7">
        <f t="shared" si="109"/>
        <v>1.3524411542952036E-2</v>
      </c>
      <c r="Y107" s="7">
        <f t="shared" si="109"/>
        <v>1.5746147892774221E-2</v>
      </c>
      <c r="Z107" s="7"/>
    </row>
    <row r="109" spans="1:26" ht="39" x14ac:dyDescent="0.25">
      <c r="A109" s="10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4472-3859-4BC0-8D64-7F05513515AB}">
  <dimension ref="A1"/>
  <sheetViews>
    <sheetView tabSelected="1" topLeftCell="A31" workbookViewId="0">
      <selection activeCell="A45" sqref="A4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Cijfers</vt:lpstr>
      <vt:lpstr>Figuren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Vinck</dc:creator>
  <cp:lastModifiedBy>Julie Vinck</cp:lastModifiedBy>
  <dcterms:created xsi:type="dcterms:W3CDTF">2025-10-20T10:05:22Z</dcterms:created>
  <dcterms:modified xsi:type="dcterms:W3CDTF">2026-07-28T08:18:18Z</dcterms:modified>
</cp:coreProperties>
</file>