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julie_vinck_kuleuven_be/Documents/Gedeeld/UNIZO/Macro niveau/"/>
    </mc:Choice>
  </mc:AlternateContent>
  <xr:revisionPtr revIDLastSave="2" documentId="8_{A312FFB7-C8BB-481D-8317-20D8916E2193}" xr6:coauthVersionLast="47" xr6:coauthVersionMax="47" xr10:uidLastSave="{63622339-C60B-4F89-AE4E-1F1FA8DD160C}"/>
  <bookViews>
    <workbookView xWindow="-120" yWindow="-120" windowWidth="29040" windowHeight="15720" xr2:uid="{00000000-000D-0000-FFFF-FFFF00000000}"/>
  </bookViews>
  <sheets>
    <sheet name="Table" sheetId="1" r:id="rId1"/>
    <sheet name="Over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D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J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8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1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20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2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2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2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2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2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26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2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28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36" authorId="0" shapeId="0" xr:uid="{594B8265-5ED1-431D-841D-8A3209269214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37" authorId="0" shapeId="0" xr:uid="{E37ADCD8-E6BC-421E-9DE5-EAC1725AB63A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38" authorId="0" shapeId="0" xr:uid="{BE9F5CD6-DADE-4E75-BBAA-D0F14DD4FBF4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39" authorId="0" shapeId="0" xr:uid="{96E5592B-039E-4EA0-956A-A53DF91361A4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0" authorId="0" shapeId="0" xr:uid="{EB55FFD8-2973-4D90-88ED-232D82820D02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1" authorId="0" shapeId="0" xr:uid="{0C37029A-090E-435A-9992-9442E079719D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2" authorId="0" shapeId="0" xr:uid="{7BA552C3-AB47-4B7E-B4C9-2A49D74FF1E2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3" authorId="0" shapeId="0" xr:uid="{737CCBFC-0C59-446B-9087-A768F59F6046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4" authorId="0" shapeId="0" xr:uid="{BFF0C435-71A1-4BA1-A828-A9AEF7083922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5" authorId="0" shapeId="0" xr:uid="{3595A946-BD62-4A52-9D6D-5E9FA1C34DAF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6" authorId="0" shapeId="0" xr:uid="{D9AEE46A-B4B6-435E-B165-71C2AFDB3A3E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7" authorId="0" shapeId="0" xr:uid="{1DE4C116-2566-4098-92DF-DE2BCFC76FE8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8" authorId="0" shapeId="0" xr:uid="{44815904-3C0A-4E4D-9271-EA030C3DDBDD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49" authorId="0" shapeId="0" xr:uid="{FC5677C7-86E6-4FEE-864B-18F7A7629389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50" authorId="0" shapeId="0" xr:uid="{36043112-69FD-4D3F-A576-152A40BD3308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51" authorId="0" shapeId="0" xr:uid="{2133BA9B-3099-46D0-ADAB-043BCBE94026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52" authorId="0" shapeId="0" xr:uid="{59A7967F-E686-4BD4-9B34-3502C6573F08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53" authorId="0" shapeId="0" xr:uid="{4A31E563-F682-4B4E-B499-090E4F3959B8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54" authorId="0" shapeId="0" xr:uid="{324CC22B-557B-43C6-B001-8061302C1E79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55" authorId="0" shapeId="0" xr:uid="{1677981F-0182-4185-89E3-45AFF52ED182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  <comment ref="J56" authorId="0" shapeId="0" xr:uid="{CE424DB8-69E2-4FC7-9B0A-F982FAFFE727}">
      <text>
        <r>
          <rPr>
            <sz val="11"/>
            <color theme="1"/>
            <rFont val="Calibri"/>
            <family val="2"/>
            <scheme val="minor"/>
          </rPr>
          <t>Observatiestatus: Tijdreeksonderbreking</t>
        </r>
      </text>
    </comment>
  </commentList>
</comments>
</file>

<file path=xl/sharedStrings.xml><?xml version="1.0" encoding="utf-8"?>
<sst xmlns="http://schemas.openxmlformats.org/spreadsheetml/2006/main" count="191" uniqueCount="55">
  <si>
    <t>Ontvangen belastingen en werkelijke sociale premies per soort</t>
  </si>
  <si>
    <t>Frequentie: Jaarlijks</t>
  </si>
  <si>
    <t>Institutionele sector: Totale overheid</t>
  </si>
  <si>
    <t>Periode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</si>
  <si>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</si>
  <si>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</si>
  <si>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</si>
  <si>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</si>
  <si>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</si>
  <si>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</si>
  <si>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</si>
  <si>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</si>
  <si>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</si>
  <si>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</si>
  <si>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</si>
  <si>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</si>
  <si>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</si>
  <si>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</si>
  <si>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</si>
  <si>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</si>
  <si>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</si>
  <si>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</si>
  <si>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</si>
  <si>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</si>
  <si>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</si>
  <si>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Categorie</t>
  </si>
  <si>
    <t/>
  </si>
  <si>
    <t>Netto sociale premies (D.61)</t>
  </si>
  <si>
    <t>·  p.m. Werkelijke sociale premies</t>
  </si>
  <si>
    <t>·  ·  Werkelijke sociale premies t.l.v. de werkgevers(D.611)</t>
  </si>
  <si>
    <t>·  ·  ·  Verplichte werkelijke sociale premies t.l.v. de werkgevers(D.6111C)</t>
  </si>
  <si>
    <t>·  ·  ·  ·  T.l.v. de overheid</t>
  </si>
  <si>
    <t>·  ·  ·  ·  T.l.v. de andere sectoren</t>
  </si>
  <si>
    <t>·  ·  ·  Vrijwillige werkelijke sociale premies t.l.v. de werkgevers(D.6111V)</t>
  </si>
  <si>
    <t>·  ·  Toegerekende sociale premies t.l.v. werkgevers (D.612)</t>
  </si>
  <si>
    <t>·  ·  Werkelijke sociale premies t.l.v. huishoudens (D.613)</t>
  </si>
  <si>
    <t>·  ·  ·  Werkelijke sociale premies t.l.v. de werknemers</t>
  </si>
  <si>
    <t>·  ·  ·  ·  Verplichte sociale premies t.l.v. de werknemers (D.613CE)</t>
  </si>
  <si>
    <t>·  ·  ·  ·  Vrijwillige sociale premies t.l.v. de werknemers (D.613VE)</t>
  </si>
  <si>
    <t>·  ·  ·  Werkelijke sociale premies t.l.v. de zelfstandigen</t>
  </si>
  <si>
    <t>·  ·  ·  ·  Verplichte sociale premies t.l.v. de zelfstandigen (D.613CS)</t>
  </si>
  <si>
    <t>·  ·  ·  ·  Vrijwillige sociale premies t.l.v. de zelfstandigen (D.613VS)</t>
  </si>
  <si>
    <t>·  ·  ·  Werkelijke sociale premies t.l.v. de niet-werkenden</t>
  </si>
  <si>
    <t>·  ·  ·  ·  Verplichte sociale premies t.l.v. de niet-werkenden (D.613CN)</t>
  </si>
  <si>
    <t>·  ·  ·  ·  Vrijwillige sociale premies t.l.v. de niet-werkenden (D.613VN)</t>
  </si>
  <si>
    <t>·  ·  Aanvullende sociale premies t.l.v. huishoudens (D.614)</t>
  </si>
  <si>
    <t xml:space="preserve">© Voorwaarden </t>
  </si>
  <si>
    <t>Statistieken over de ontvangen belastingen en daadwerkelijke sociale premies per soort voor verschillende institutionele sectoren. Bevat gedetailleerde uitsplitsingen van belastingen en sociale premies.</t>
  </si>
  <si>
    <t>Overheidsfinanciën: Overheidsrekeningen</t>
  </si>
  <si>
    <t xml:space="preserve">Aantal ongefilterde datapunten: 61200 </t>
  </si>
  <si>
    <t xml:space="preserve">Laatst bijgewerkt: 05 november 2025 om 15:42:14 </t>
  </si>
  <si>
    <t>Eenheid</t>
  </si>
  <si>
    <t>Miljoen euro</t>
  </si>
  <si>
    <t>Duizend euro</t>
  </si>
  <si>
    <t>Zoals FOD bestanden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</si>
</sst>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B\ \ \ #,##0;\B\ \ \ \-#,##0"/>
  </numFmts>
  <fonts count="53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3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073A75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5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2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6" fillId="7" borderId="6" xfId="0" applyFont="1" applyFill="1" applyBorder="1" applyAlignment="1">
      <alignment horizontal="center" vertical="top" wrapText="1" readingOrder="1"/>
    </xf>
    <xf numFmtId="0" fontId="7" fillId="8" borderId="7" xfId="0" applyFont="1" applyFill="1" applyBorder="1" applyAlignment="1">
      <alignment horizontal="center" vertical="top" wrapText="1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5" fillId="16" borderId="15" xfId="0" applyFont="1" applyFill="1" applyBorder="1" applyAlignment="1">
      <alignment horizontal="center" vertical="top" wrapText="1" readingOrder="1"/>
    </xf>
    <xf numFmtId="0" fontId="16" fillId="17" borderId="16" xfId="0" applyFont="1" applyFill="1" applyBorder="1" applyAlignment="1">
      <alignment horizontal="center" vertical="top" wrapText="1" readingOrder="1"/>
    </xf>
    <xf numFmtId="0" fontId="17" fillId="18" borderId="17" xfId="0" applyFont="1" applyFill="1" applyBorder="1" applyAlignment="1">
      <alignment horizontal="center" vertical="top" wrapText="1" readingOrder="1"/>
    </xf>
    <xf numFmtId="0" fontId="18" fillId="19" borderId="18" xfId="0" applyFont="1" applyFill="1" applyBorder="1" applyAlignment="1">
      <alignment horizontal="center" vertical="top" wrapText="1" readingOrder="1"/>
    </xf>
    <xf numFmtId="0" fontId="19" fillId="20" borderId="19" xfId="0" applyFont="1" applyFill="1" applyBorder="1" applyAlignment="1">
      <alignment horizontal="center" vertical="top" wrapText="1" readingOrder="1"/>
    </xf>
    <xf numFmtId="0" fontId="20" fillId="21" borderId="20" xfId="0" applyFont="1" applyFill="1" applyBorder="1" applyAlignment="1">
      <alignment horizontal="center" vertical="top" wrapText="1" readingOrder="1"/>
    </xf>
    <xf numFmtId="0" fontId="21" fillId="22" borderId="21" xfId="0" applyFont="1" applyFill="1" applyBorder="1" applyAlignment="1">
      <alignment horizontal="center" vertical="top" wrapText="1" readingOrder="1"/>
    </xf>
    <xf numFmtId="0" fontId="22" fillId="23" borderId="22" xfId="0" applyFont="1" applyFill="1" applyBorder="1" applyAlignment="1">
      <alignment horizontal="center" vertical="top" wrapText="1" readingOrder="1"/>
    </xf>
    <xf numFmtId="0" fontId="23" fillId="24" borderId="23" xfId="0" applyFont="1" applyFill="1" applyBorder="1" applyAlignment="1">
      <alignment horizontal="center" vertical="top" wrapText="1" readingOrder="1"/>
    </xf>
    <xf numFmtId="0" fontId="24" fillId="25" borderId="24" xfId="0" applyFont="1" applyFill="1" applyBorder="1" applyAlignment="1">
      <alignment horizontal="center" vertical="top" wrapText="1" readingOrder="1"/>
    </xf>
    <xf numFmtId="0" fontId="25" fillId="26" borderId="25" xfId="0" applyFont="1" applyFill="1" applyBorder="1" applyAlignment="1">
      <alignment horizontal="center" vertical="top" wrapText="1" readingOrder="1"/>
    </xf>
    <xf numFmtId="0" fontId="26" fillId="27" borderId="26" xfId="0" applyFont="1" applyFill="1" applyBorder="1" applyAlignment="1">
      <alignment horizontal="center" vertical="top" wrapText="1" readingOrder="1"/>
    </xf>
    <xf numFmtId="0" fontId="27" fillId="28" borderId="27" xfId="0" applyFont="1" applyFill="1" applyBorder="1" applyAlignment="1">
      <alignment horizontal="left" vertical="top" wrapText="1" readingOrder="1"/>
    </xf>
    <xf numFmtId="0" fontId="28" fillId="29" borderId="28" xfId="0" applyFont="1" applyFill="1" applyBorder="1" applyAlignment="1">
      <alignment horizontal="left" vertical="top" wrapText="1" readingOrder="1"/>
    </xf>
    <xf numFmtId="0" fontId="29" fillId="30" borderId="29" xfId="0" applyFont="1" applyFill="1" applyBorder="1" applyAlignment="1">
      <alignment horizontal="left" vertical="top" wrapText="1" readingOrder="1"/>
    </xf>
    <xf numFmtId="0" fontId="30" fillId="31" borderId="30" xfId="0" applyFont="1" applyFill="1" applyBorder="1" applyAlignment="1">
      <alignment horizontal="left" vertical="top" wrapText="1" readingOrder="1"/>
    </xf>
    <xf numFmtId="0" fontId="31" fillId="32" borderId="31" xfId="0" applyFont="1" applyFill="1" applyBorder="1" applyAlignment="1">
      <alignment horizontal="left" vertical="top" wrapText="1" readingOrder="1"/>
    </xf>
    <xf numFmtId="0" fontId="32" fillId="33" borderId="32" xfId="0" applyFont="1" applyFill="1" applyBorder="1" applyAlignment="1">
      <alignment horizontal="left" vertical="top" wrapText="1" readingOrder="1"/>
    </xf>
    <xf numFmtId="0" fontId="33" fillId="34" borderId="33" xfId="0" applyFont="1" applyFill="1" applyBorder="1" applyAlignment="1">
      <alignment horizontal="left" vertical="top" wrapText="1" readingOrder="1"/>
    </xf>
    <xf numFmtId="0" fontId="34" fillId="35" borderId="34" xfId="0" applyFont="1" applyFill="1" applyBorder="1" applyAlignment="1">
      <alignment horizontal="left" vertical="top" wrapText="1" readingOrder="1"/>
    </xf>
    <xf numFmtId="0" fontId="35" fillId="36" borderId="35" xfId="0" applyFont="1" applyFill="1" applyBorder="1" applyAlignment="1">
      <alignment horizontal="left" vertical="top" wrapText="1" readingOrder="1"/>
    </xf>
    <xf numFmtId="0" fontId="36" fillId="37" borderId="36" xfId="0" applyFont="1" applyFill="1" applyBorder="1" applyAlignment="1">
      <alignment horizontal="left" vertical="top" wrapText="1" readingOrder="1"/>
    </xf>
    <xf numFmtId="0" fontId="37" fillId="38" borderId="37" xfId="0" applyFont="1" applyFill="1" applyBorder="1" applyAlignment="1">
      <alignment horizontal="left" vertical="top" wrapText="1" readingOrder="1"/>
    </xf>
    <xf numFmtId="0" fontId="38" fillId="39" borderId="38" xfId="0" applyFont="1" applyFill="1" applyBorder="1" applyAlignment="1">
      <alignment horizontal="left" vertical="top" wrapText="1" readingOrder="1"/>
    </xf>
    <xf numFmtId="0" fontId="39" fillId="40" borderId="39" xfId="0" applyFont="1" applyFill="1" applyBorder="1" applyAlignment="1">
      <alignment horizontal="left" vertical="top" wrapText="1" readingOrder="1"/>
    </xf>
    <xf numFmtId="0" fontId="40" fillId="41" borderId="40" xfId="0" applyFont="1" applyFill="1" applyBorder="1" applyAlignment="1">
      <alignment horizontal="left" vertical="top" wrapText="1" readingOrder="1"/>
    </xf>
    <xf numFmtId="0" fontId="41" fillId="42" borderId="41" xfId="0" applyFont="1" applyFill="1" applyBorder="1" applyAlignment="1">
      <alignment horizontal="left" vertical="top" wrapText="1" readingOrder="1"/>
    </xf>
    <xf numFmtId="0" fontId="42" fillId="43" borderId="42" xfId="0" applyFont="1" applyFill="1" applyBorder="1" applyAlignment="1">
      <alignment horizontal="left" vertical="top" wrapText="1" readingOrder="1"/>
    </xf>
    <xf numFmtId="0" fontId="43" fillId="44" borderId="43" xfId="0" applyFont="1" applyFill="1" applyBorder="1" applyAlignment="1">
      <alignment horizontal="left" vertical="top" wrapText="1" readingOrder="1"/>
    </xf>
    <xf numFmtId="0" fontId="44" fillId="45" borderId="44" xfId="0" applyFont="1" applyFill="1" applyBorder="1" applyAlignment="1">
      <alignment horizontal="left" vertical="top" wrapText="1" readingOrder="1"/>
    </xf>
    <xf numFmtId="0" fontId="45" fillId="46" borderId="45" xfId="0" applyFont="1" applyFill="1" applyBorder="1" applyAlignment="1">
      <alignment horizontal="left" vertical="top" wrapText="1" readingOrder="1"/>
    </xf>
    <xf numFmtId="0" fontId="46" fillId="47" borderId="46" xfId="0" applyFont="1" applyFill="1" applyBorder="1" applyAlignment="1">
      <alignment horizontal="left" vertical="top" wrapText="1" readingOrder="1"/>
    </xf>
    <xf numFmtId="0" fontId="47" fillId="48" borderId="47" xfId="0" applyFont="1" applyFill="1" applyBorder="1" applyAlignment="1">
      <alignment horizontal="left" vertical="top" wrapText="1" readingOrder="1"/>
    </xf>
    <xf numFmtId="0" fontId="48" fillId="49" borderId="48" xfId="0" applyFont="1" applyFill="1" applyBorder="1" applyAlignment="1">
      <alignment horizontal="left" vertical="top" wrapText="1" readingOrder="1"/>
    </xf>
    <xf numFmtId="0" fontId="49" fillId="50" borderId="49" xfId="0" applyFont="1" applyFill="1" applyBorder="1" applyAlignment="1">
      <alignment horizontal="left" vertical="top" wrapText="1" readingOrder="1"/>
    </xf>
    <xf numFmtId="0" fontId="50" fillId="51" borderId="50" xfId="0" applyFont="1" applyFill="1" applyBorder="1" applyAlignment="1">
      <alignment horizontal="left" vertical="top" wrapText="1" readingOrder="1"/>
    </xf>
    <xf numFmtId="0" fontId="51" fillId="52" borderId="51" xfId="0" applyFont="1" applyFill="1" applyBorder="1" applyAlignment="1">
      <alignment horizontal="right" vertical="top" wrapText="1" readingOrder="1"/>
    </xf>
    <xf numFmtId="3" fontId="52" fillId="53" borderId="52" xfId="0" applyNumberFormat="1" applyFont="1" applyFill="1" applyBorder="1" applyAlignment="1">
      <alignment horizontal="right" wrapText="1" readingOrder="1"/>
    </xf>
    <xf numFmtId="3" fontId="53" fillId="54" borderId="53" xfId="0" applyNumberFormat="1" applyFont="1" applyFill="1" applyBorder="1" applyAlignment="1">
      <alignment horizontal="right" wrapText="1" readingOrder="1"/>
    </xf>
    <xf numFmtId="3" fontId="54" fillId="55" borderId="54" xfId="0" applyNumberFormat="1" applyFont="1" applyFill="1" applyBorder="1" applyAlignment="1">
      <alignment horizontal="right" wrapText="1" readingOrder="1"/>
    </xf>
    <xf numFmtId="3" fontId="55" fillId="56" borderId="55" xfId="0" applyNumberFormat="1" applyFont="1" applyFill="1" applyBorder="1" applyAlignment="1">
      <alignment horizontal="right" wrapText="1" readingOrder="1"/>
    </xf>
    <xf numFmtId="3" fontId="56" fillId="57" borderId="56" xfId="0" applyNumberFormat="1" applyFont="1" applyFill="1" applyBorder="1" applyAlignment="1">
      <alignment horizontal="right" wrapText="1" readingOrder="1"/>
    </xf>
    <xf numFmtId="3" fontId="57" fillId="58" borderId="57" xfId="0" applyNumberFormat="1" applyFont="1" applyFill="1" applyBorder="1" applyAlignment="1">
      <alignment horizontal="right" wrapText="1" readingOrder="1"/>
    </xf>
    <xf numFmtId="164" fontId="58" fillId="59" borderId="58" xfId="0" applyNumberFormat="1" applyFont="1" applyFill="1" applyBorder="1" applyAlignment="1">
      <alignment horizontal="right" wrapText="1" readingOrder="1"/>
    </xf>
    <xf numFmtId="3" fontId="59" fillId="60" borderId="59" xfId="0" applyNumberFormat="1" applyFont="1" applyFill="1" applyBorder="1" applyAlignment="1">
      <alignment horizontal="right" wrapText="1" readingOrder="1"/>
    </xf>
    <xf numFmtId="3" fontId="60" fillId="61" borderId="60" xfId="0" applyNumberFormat="1" applyFont="1" applyFill="1" applyBorder="1" applyAlignment="1">
      <alignment horizontal="right" wrapText="1" readingOrder="1"/>
    </xf>
    <xf numFmtId="3" fontId="61" fillId="62" borderId="61" xfId="0" applyNumberFormat="1" applyFont="1" applyFill="1" applyBorder="1" applyAlignment="1">
      <alignment horizontal="right" wrapText="1" readingOrder="1"/>
    </xf>
    <xf numFmtId="3" fontId="62" fillId="63" borderId="62" xfId="0" applyNumberFormat="1" applyFont="1" applyFill="1" applyBorder="1" applyAlignment="1">
      <alignment horizontal="right" wrapText="1" readingOrder="1"/>
    </xf>
    <xf numFmtId="3" fontId="63" fillId="64" borderId="63" xfId="0" applyNumberFormat="1" applyFont="1" applyFill="1" applyBorder="1" applyAlignment="1">
      <alignment horizontal="right" wrapText="1" readingOrder="1"/>
    </xf>
    <xf numFmtId="3" fontId="64" fillId="65" borderId="64" xfId="0" applyNumberFormat="1" applyFont="1" applyFill="1" applyBorder="1" applyAlignment="1">
      <alignment horizontal="right" wrapText="1" readingOrder="1"/>
    </xf>
    <xf numFmtId="3" fontId="65" fillId="66" borderId="65" xfId="0" applyNumberFormat="1" applyFont="1" applyFill="1" applyBorder="1" applyAlignment="1">
      <alignment horizontal="right" wrapText="1" readingOrder="1"/>
    </xf>
    <xf numFmtId="3" fontId="66" fillId="67" borderId="66" xfId="0" applyNumberFormat="1" applyFont="1" applyFill="1" applyBorder="1" applyAlignment="1">
      <alignment horizontal="right" wrapText="1" readingOrder="1"/>
    </xf>
    <xf numFmtId="3" fontId="67" fillId="68" borderId="67" xfId="0" applyNumberFormat="1" applyFont="1" applyFill="1" applyBorder="1" applyAlignment="1">
      <alignment horizontal="right" wrapText="1" readingOrder="1"/>
    </xf>
    <xf numFmtId="3" fontId="68" fillId="69" borderId="68" xfId="0" applyNumberFormat="1" applyFont="1" applyFill="1" applyBorder="1" applyAlignment="1">
      <alignment horizontal="right" wrapText="1" readingOrder="1"/>
    </xf>
    <xf numFmtId="3" fontId="69" fillId="70" borderId="69" xfId="0" applyNumberFormat="1" applyFont="1" applyFill="1" applyBorder="1" applyAlignment="1">
      <alignment horizontal="right" wrapText="1" readingOrder="1"/>
    </xf>
    <xf numFmtId="3" fontId="70" fillId="71" borderId="70" xfId="0" applyNumberFormat="1" applyFont="1" applyFill="1" applyBorder="1" applyAlignment="1">
      <alignment horizontal="right" wrapText="1" readingOrder="1"/>
    </xf>
    <xf numFmtId="3" fontId="71" fillId="72" borderId="71" xfId="0" applyNumberFormat="1" applyFont="1" applyFill="1" applyBorder="1" applyAlignment="1">
      <alignment horizontal="right" wrapText="1" readingOrder="1"/>
    </xf>
    <xf numFmtId="3" fontId="72" fillId="73" borderId="72" xfId="0" applyNumberFormat="1" applyFont="1" applyFill="1" applyBorder="1" applyAlignment="1">
      <alignment horizontal="right" wrapText="1" readingOrder="1"/>
    </xf>
    <xf numFmtId="0" fontId="73" fillId="74" borderId="73" xfId="0" applyFont="1" applyFill="1" applyBorder="1" applyAlignment="1">
      <alignment horizontal="left" vertical="top" wrapText="1" readingOrder="1"/>
    </xf>
    <xf numFmtId="0" fontId="74" fillId="75" borderId="74" xfId="0" applyFont="1" applyFill="1" applyBorder="1" applyAlignment="1">
      <alignment horizontal="right" vertical="top" wrapText="1" readingOrder="1"/>
    </xf>
    <xf numFmtId="3" fontId="75" fillId="76" borderId="75" xfId="0" applyNumberFormat="1" applyFont="1" applyFill="1" applyBorder="1" applyAlignment="1">
      <alignment horizontal="right" wrapText="1" readingOrder="1"/>
    </xf>
    <xf numFmtId="3" fontId="76" fillId="77" borderId="76" xfId="0" applyNumberFormat="1" applyFont="1" applyFill="1" applyBorder="1" applyAlignment="1">
      <alignment horizontal="right" wrapText="1" readingOrder="1"/>
    </xf>
    <xf numFmtId="3" fontId="77" fillId="78" borderId="77" xfId="0" applyNumberFormat="1" applyFont="1" applyFill="1" applyBorder="1" applyAlignment="1">
      <alignment horizontal="right" wrapText="1" readingOrder="1"/>
    </xf>
    <xf numFmtId="3" fontId="78" fillId="79" borderId="78" xfId="0" applyNumberFormat="1" applyFont="1" applyFill="1" applyBorder="1" applyAlignment="1">
      <alignment horizontal="right" wrapText="1" readingOrder="1"/>
    </xf>
    <xf numFmtId="3" fontId="79" fillId="80" borderId="79" xfId="0" applyNumberFormat="1" applyFont="1" applyFill="1" applyBorder="1" applyAlignment="1">
      <alignment horizontal="right" wrapText="1" readingOrder="1"/>
    </xf>
    <xf numFmtId="3" fontId="80" fillId="81" borderId="80" xfId="0" applyNumberFormat="1" applyFont="1" applyFill="1" applyBorder="1" applyAlignment="1">
      <alignment horizontal="right" wrapText="1" readingOrder="1"/>
    </xf>
    <xf numFmtId="164" fontId="81" fillId="82" borderId="81" xfId="0" applyNumberFormat="1" applyFont="1" applyFill="1" applyBorder="1" applyAlignment="1">
      <alignment horizontal="right" wrapText="1" readingOrder="1"/>
    </xf>
    <xf numFmtId="3" fontId="82" fillId="83" borderId="82" xfId="0" applyNumberFormat="1" applyFont="1" applyFill="1" applyBorder="1" applyAlignment="1">
      <alignment horizontal="right" wrapText="1" readingOrder="1"/>
    </xf>
    <xf numFmtId="3" fontId="83" fillId="84" borderId="83" xfId="0" applyNumberFormat="1" applyFont="1" applyFill="1" applyBorder="1" applyAlignment="1">
      <alignment horizontal="right" wrapText="1" readingOrder="1"/>
    </xf>
    <xf numFmtId="3" fontId="84" fillId="85" borderId="84" xfId="0" applyNumberFormat="1" applyFont="1" applyFill="1" applyBorder="1" applyAlignment="1">
      <alignment horizontal="right" wrapText="1" readingOrder="1"/>
    </xf>
    <xf numFmtId="3" fontId="85" fillId="86" borderId="85" xfId="0" applyNumberFormat="1" applyFont="1" applyFill="1" applyBorder="1" applyAlignment="1">
      <alignment horizontal="right" wrapText="1" readingOrder="1"/>
    </xf>
    <xf numFmtId="3" fontId="86" fillId="87" borderId="86" xfId="0" applyNumberFormat="1" applyFont="1" applyFill="1" applyBorder="1" applyAlignment="1">
      <alignment horizontal="right" wrapText="1" readingOrder="1"/>
    </xf>
    <xf numFmtId="3" fontId="87" fillId="88" borderId="87" xfId="0" applyNumberFormat="1" applyFont="1" applyFill="1" applyBorder="1" applyAlignment="1">
      <alignment horizontal="right" wrapText="1" readingOrder="1"/>
    </xf>
    <xf numFmtId="3" fontId="88" fillId="89" borderId="88" xfId="0" applyNumberFormat="1" applyFont="1" applyFill="1" applyBorder="1" applyAlignment="1">
      <alignment horizontal="right" wrapText="1" readingOrder="1"/>
    </xf>
    <xf numFmtId="3" fontId="89" fillId="90" borderId="89" xfId="0" applyNumberFormat="1" applyFont="1" applyFill="1" applyBorder="1" applyAlignment="1">
      <alignment horizontal="right" wrapText="1" readingOrder="1"/>
    </xf>
    <xf numFmtId="3" fontId="90" fillId="91" borderId="90" xfId="0" applyNumberFormat="1" applyFont="1" applyFill="1" applyBorder="1" applyAlignment="1">
      <alignment horizontal="right" wrapText="1" readingOrder="1"/>
    </xf>
    <xf numFmtId="3" fontId="91" fillId="92" borderId="91" xfId="0" applyNumberFormat="1" applyFont="1" applyFill="1" applyBorder="1" applyAlignment="1">
      <alignment horizontal="right" wrapText="1" readingOrder="1"/>
    </xf>
    <xf numFmtId="3" fontId="92" fillId="93" borderId="92" xfId="0" applyNumberFormat="1" applyFont="1" applyFill="1" applyBorder="1" applyAlignment="1">
      <alignment horizontal="right" wrapText="1" readingOrder="1"/>
    </xf>
    <xf numFmtId="3" fontId="93" fillId="94" borderId="93" xfId="0" applyNumberFormat="1" applyFont="1" applyFill="1" applyBorder="1" applyAlignment="1">
      <alignment horizontal="right" wrapText="1" readingOrder="1"/>
    </xf>
    <xf numFmtId="3" fontId="94" fillId="95" borderId="94" xfId="0" applyNumberFormat="1" applyFont="1" applyFill="1" applyBorder="1" applyAlignment="1">
      <alignment horizontal="right" wrapText="1" readingOrder="1"/>
    </xf>
    <xf numFmtId="3" fontId="95" fillId="96" borderId="95" xfId="0" applyNumberFormat="1" applyFont="1" applyFill="1" applyBorder="1" applyAlignment="1">
      <alignment horizontal="right" wrapText="1" readingOrder="1"/>
    </xf>
    <xf numFmtId="0" fontId="96" fillId="97" borderId="96" xfId="0" applyFont="1" applyFill="1" applyBorder="1" applyAlignment="1">
      <alignment horizontal="left" vertical="top" wrapText="1" readingOrder="1"/>
    </xf>
    <xf numFmtId="0" fontId="97" fillId="98" borderId="97" xfId="0" applyFont="1" applyFill="1" applyBorder="1" applyAlignment="1">
      <alignment horizontal="right" vertical="top" wrapText="1" readingOrder="1"/>
    </xf>
    <xf numFmtId="3" fontId="98" fillId="99" borderId="98" xfId="0" applyNumberFormat="1" applyFont="1" applyFill="1" applyBorder="1" applyAlignment="1">
      <alignment horizontal="right" wrapText="1" readingOrder="1"/>
    </xf>
    <xf numFmtId="3" fontId="99" fillId="100" borderId="99" xfId="0" applyNumberFormat="1" applyFont="1" applyFill="1" applyBorder="1" applyAlignment="1">
      <alignment horizontal="right" wrapText="1" readingOrder="1"/>
    </xf>
    <xf numFmtId="3" fontId="100" fillId="101" borderId="100" xfId="0" applyNumberFormat="1" applyFont="1" applyFill="1" applyBorder="1" applyAlignment="1">
      <alignment horizontal="right" wrapText="1" readingOrder="1"/>
    </xf>
    <xf numFmtId="3" fontId="101" fillId="102" borderId="101" xfId="0" applyNumberFormat="1" applyFont="1" applyFill="1" applyBorder="1" applyAlignment="1">
      <alignment horizontal="right" wrapText="1" readingOrder="1"/>
    </xf>
    <xf numFmtId="3" fontId="102" fillId="103" borderId="102" xfId="0" applyNumberFormat="1" applyFont="1" applyFill="1" applyBorder="1" applyAlignment="1">
      <alignment horizontal="right" wrapText="1" readingOrder="1"/>
    </xf>
    <xf numFmtId="3" fontId="103" fillId="104" borderId="103" xfId="0" applyNumberFormat="1" applyFont="1" applyFill="1" applyBorder="1" applyAlignment="1">
      <alignment horizontal="right" wrapText="1" readingOrder="1"/>
    </xf>
    <xf numFmtId="164" fontId="104" fillId="105" borderId="104" xfId="0" applyNumberFormat="1" applyFont="1" applyFill="1" applyBorder="1" applyAlignment="1">
      <alignment horizontal="right" wrapText="1" readingOrder="1"/>
    </xf>
    <xf numFmtId="3" fontId="105" fillId="106" borderId="105" xfId="0" applyNumberFormat="1" applyFont="1" applyFill="1" applyBorder="1" applyAlignment="1">
      <alignment horizontal="right" wrapText="1" readingOrder="1"/>
    </xf>
    <xf numFmtId="3" fontId="106" fillId="107" borderId="106" xfId="0" applyNumberFormat="1" applyFont="1" applyFill="1" applyBorder="1" applyAlignment="1">
      <alignment horizontal="right" wrapText="1" readingOrder="1"/>
    </xf>
    <xf numFmtId="3" fontId="107" fillId="108" borderId="107" xfId="0" applyNumberFormat="1" applyFont="1" applyFill="1" applyBorder="1" applyAlignment="1">
      <alignment horizontal="right" wrapText="1" readingOrder="1"/>
    </xf>
    <xf numFmtId="3" fontId="108" fillId="109" borderId="108" xfId="0" applyNumberFormat="1" applyFont="1" applyFill="1" applyBorder="1" applyAlignment="1">
      <alignment horizontal="right" wrapText="1" readingOrder="1"/>
    </xf>
    <xf numFmtId="3" fontId="109" fillId="110" borderId="109" xfId="0" applyNumberFormat="1" applyFont="1" applyFill="1" applyBorder="1" applyAlignment="1">
      <alignment horizontal="right" wrapText="1" readingOrder="1"/>
    </xf>
    <xf numFmtId="3" fontId="110" fillId="111" borderId="110" xfId="0" applyNumberFormat="1" applyFont="1" applyFill="1" applyBorder="1" applyAlignment="1">
      <alignment horizontal="right" wrapText="1" readingOrder="1"/>
    </xf>
    <xf numFmtId="3" fontId="111" fillId="112" borderId="111" xfId="0" applyNumberFormat="1" applyFont="1" applyFill="1" applyBorder="1" applyAlignment="1">
      <alignment horizontal="right" wrapText="1" readingOrder="1"/>
    </xf>
    <xf numFmtId="3" fontId="112" fillId="113" borderId="112" xfId="0" applyNumberFormat="1" applyFont="1" applyFill="1" applyBorder="1" applyAlignment="1">
      <alignment horizontal="right" wrapText="1" readingOrder="1"/>
    </xf>
    <xf numFmtId="3" fontId="113" fillId="114" borderId="113" xfId="0" applyNumberFormat="1" applyFont="1" applyFill="1" applyBorder="1" applyAlignment="1">
      <alignment horizontal="right" wrapText="1" readingOrder="1"/>
    </xf>
    <xf numFmtId="3" fontId="114" fillId="115" borderId="114" xfId="0" applyNumberFormat="1" applyFont="1" applyFill="1" applyBorder="1" applyAlignment="1">
      <alignment horizontal="right" wrapText="1" readingOrder="1"/>
    </xf>
    <xf numFmtId="3" fontId="115" fillId="116" borderId="115" xfId="0" applyNumberFormat="1" applyFont="1" applyFill="1" applyBorder="1" applyAlignment="1">
      <alignment horizontal="right" wrapText="1" readingOrder="1"/>
    </xf>
    <xf numFmtId="3" fontId="116" fillId="117" borderId="116" xfId="0" applyNumberFormat="1" applyFont="1" applyFill="1" applyBorder="1" applyAlignment="1">
      <alignment horizontal="right" wrapText="1" readingOrder="1"/>
    </xf>
    <xf numFmtId="3" fontId="117" fillId="118" borderId="117" xfId="0" applyNumberFormat="1" applyFont="1" applyFill="1" applyBorder="1" applyAlignment="1">
      <alignment horizontal="right" wrapText="1" readingOrder="1"/>
    </xf>
    <xf numFmtId="3" fontId="118" fillId="119" borderId="118" xfId="0" applyNumberFormat="1" applyFont="1" applyFill="1" applyBorder="1" applyAlignment="1">
      <alignment horizontal="right" wrapText="1" readingOrder="1"/>
    </xf>
    <xf numFmtId="0" fontId="119" fillId="120" borderId="119" xfId="0" applyFont="1" applyFill="1" applyBorder="1" applyAlignment="1">
      <alignment horizontal="left" vertical="top" wrapText="1" readingOrder="1"/>
    </xf>
    <xf numFmtId="0" fontId="120" fillId="121" borderId="120" xfId="0" applyFont="1" applyFill="1" applyBorder="1" applyAlignment="1">
      <alignment horizontal="right" vertical="top" wrapText="1" readingOrder="1"/>
    </xf>
    <xf numFmtId="3" fontId="121" fillId="122" borderId="121" xfId="0" applyNumberFormat="1" applyFont="1" applyFill="1" applyBorder="1" applyAlignment="1">
      <alignment horizontal="right" wrapText="1" readingOrder="1"/>
    </xf>
    <xf numFmtId="3" fontId="122" fillId="123" borderId="122" xfId="0" applyNumberFormat="1" applyFont="1" applyFill="1" applyBorder="1" applyAlignment="1">
      <alignment horizontal="right" wrapText="1" readingOrder="1"/>
    </xf>
    <xf numFmtId="3" fontId="123" fillId="124" borderId="123" xfId="0" applyNumberFormat="1" applyFont="1" applyFill="1" applyBorder="1" applyAlignment="1">
      <alignment horizontal="right" wrapText="1" readingOrder="1"/>
    </xf>
    <xf numFmtId="3" fontId="124" fillId="125" borderId="124" xfId="0" applyNumberFormat="1" applyFont="1" applyFill="1" applyBorder="1" applyAlignment="1">
      <alignment horizontal="right" wrapText="1" readingOrder="1"/>
    </xf>
    <xf numFmtId="3" fontId="125" fillId="126" borderId="125" xfId="0" applyNumberFormat="1" applyFont="1" applyFill="1" applyBorder="1" applyAlignment="1">
      <alignment horizontal="right" wrapText="1" readingOrder="1"/>
    </xf>
    <xf numFmtId="3" fontId="126" fillId="127" borderId="126" xfId="0" applyNumberFormat="1" applyFont="1" applyFill="1" applyBorder="1" applyAlignment="1">
      <alignment horizontal="right" wrapText="1" readingOrder="1"/>
    </xf>
    <xf numFmtId="164" fontId="127" fillId="128" borderId="127" xfId="0" applyNumberFormat="1" applyFont="1" applyFill="1" applyBorder="1" applyAlignment="1">
      <alignment horizontal="right" wrapText="1" readingOrder="1"/>
    </xf>
    <xf numFmtId="3" fontId="128" fillId="129" borderId="128" xfId="0" applyNumberFormat="1" applyFont="1" applyFill="1" applyBorder="1" applyAlignment="1">
      <alignment horizontal="right" wrapText="1" readingOrder="1"/>
    </xf>
    <xf numFmtId="3" fontId="129" fillId="130" borderId="129" xfId="0" applyNumberFormat="1" applyFont="1" applyFill="1" applyBorder="1" applyAlignment="1">
      <alignment horizontal="right" wrapText="1" readingOrder="1"/>
    </xf>
    <xf numFmtId="3" fontId="130" fillId="131" borderId="130" xfId="0" applyNumberFormat="1" applyFont="1" applyFill="1" applyBorder="1" applyAlignment="1">
      <alignment horizontal="right" wrapText="1" readingOrder="1"/>
    </xf>
    <xf numFmtId="3" fontId="131" fillId="132" borderId="131" xfId="0" applyNumberFormat="1" applyFont="1" applyFill="1" applyBorder="1" applyAlignment="1">
      <alignment horizontal="right" wrapText="1" readingOrder="1"/>
    </xf>
    <xf numFmtId="3" fontId="132" fillId="133" borderId="132" xfId="0" applyNumberFormat="1" applyFont="1" applyFill="1" applyBorder="1" applyAlignment="1">
      <alignment horizontal="right" wrapText="1" readingOrder="1"/>
    </xf>
    <xf numFmtId="3" fontId="133" fillId="134" borderId="133" xfId="0" applyNumberFormat="1" applyFont="1" applyFill="1" applyBorder="1" applyAlignment="1">
      <alignment horizontal="right" wrapText="1" readingOrder="1"/>
    </xf>
    <xf numFmtId="3" fontId="134" fillId="135" borderId="134" xfId="0" applyNumberFormat="1" applyFont="1" applyFill="1" applyBorder="1" applyAlignment="1">
      <alignment horizontal="right" wrapText="1" readingOrder="1"/>
    </xf>
    <xf numFmtId="3" fontId="135" fillId="136" borderId="135" xfId="0" applyNumberFormat="1" applyFont="1" applyFill="1" applyBorder="1" applyAlignment="1">
      <alignment horizontal="right" wrapText="1" readingOrder="1"/>
    </xf>
    <xf numFmtId="3" fontId="136" fillId="137" borderId="136" xfId="0" applyNumberFormat="1" applyFont="1" applyFill="1" applyBorder="1" applyAlignment="1">
      <alignment horizontal="right" wrapText="1" readingOrder="1"/>
    </xf>
    <xf numFmtId="3" fontId="137" fillId="138" borderId="137" xfId="0" applyNumberFormat="1" applyFont="1" applyFill="1" applyBorder="1" applyAlignment="1">
      <alignment horizontal="right" wrapText="1" readingOrder="1"/>
    </xf>
    <xf numFmtId="3" fontId="138" fillId="139" borderId="138" xfId="0" applyNumberFormat="1" applyFont="1" applyFill="1" applyBorder="1" applyAlignment="1">
      <alignment horizontal="right" wrapText="1" readingOrder="1"/>
    </xf>
    <xf numFmtId="3" fontId="139" fillId="140" borderId="139" xfId="0" applyNumberFormat="1" applyFont="1" applyFill="1" applyBorder="1" applyAlignment="1">
      <alignment horizontal="right" wrapText="1" readingOrder="1"/>
    </xf>
    <xf numFmtId="3" fontId="140" fillId="141" borderId="140" xfId="0" applyNumberFormat="1" applyFont="1" applyFill="1" applyBorder="1" applyAlignment="1">
      <alignment horizontal="right" wrapText="1" readingOrder="1"/>
    </xf>
    <xf numFmtId="3" fontId="141" fillId="142" borderId="141" xfId="0" applyNumberFormat="1" applyFont="1" applyFill="1" applyBorder="1" applyAlignment="1">
      <alignment horizontal="right" wrapText="1" readingOrder="1"/>
    </xf>
    <xf numFmtId="0" fontId="142" fillId="143" borderId="142" xfId="0" applyFont="1" applyFill="1" applyBorder="1" applyAlignment="1">
      <alignment horizontal="left" vertical="top" wrapText="1" readingOrder="1"/>
    </xf>
    <xf numFmtId="0" fontId="143" fillId="144" borderId="143" xfId="0" applyFont="1" applyFill="1" applyBorder="1" applyAlignment="1">
      <alignment horizontal="right" vertical="top" wrapText="1" readingOrder="1"/>
    </xf>
    <xf numFmtId="3" fontId="144" fillId="145" borderId="144" xfId="0" applyNumberFormat="1" applyFont="1" applyFill="1" applyBorder="1" applyAlignment="1">
      <alignment horizontal="right" wrapText="1" readingOrder="1"/>
    </xf>
    <xf numFmtId="3" fontId="145" fillId="146" borderId="145" xfId="0" applyNumberFormat="1" applyFont="1" applyFill="1" applyBorder="1" applyAlignment="1">
      <alignment horizontal="right" wrapText="1" readingOrder="1"/>
    </xf>
    <xf numFmtId="3" fontId="146" fillId="147" borderId="146" xfId="0" applyNumberFormat="1" applyFont="1" applyFill="1" applyBorder="1" applyAlignment="1">
      <alignment horizontal="right" wrapText="1" readingOrder="1"/>
    </xf>
    <xf numFmtId="3" fontId="147" fillId="148" borderId="147" xfId="0" applyNumberFormat="1" applyFont="1" applyFill="1" applyBorder="1" applyAlignment="1">
      <alignment horizontal="right" wrapText="1" readingOrder="1"/>
    </xf>
    <xf numFmtId="3" fontId="148" fillId="149" borderId="148" xfId="0" applyNumberFormat="1" applyFont="1" applyFill="1" applyBorder="1" applyAlignment="1">
      <alignment horizontal="right" wrapText="1" readingOrder="1"/>
    </xf>
    <xf numFmtId="3" fontId="149" fillId="150" borderId="149" xfId="0" applyNumberFormat="1" applyFont="1" applyFill="1" applyBorder="1" applyAlignment="1">
      <alignment horizontal="right" wrapText="1" readingOrder="1"/>
    </xf>
    <xf numFmtId="164" fontId="150" fillId="151" borderId="150" xfId="0" applyNumberFormat="1" applyFont="1" applyFill="1" applyBorder="1" applyAlignment="1">
      <alignment horizontal="right" wrapText="1" readingOrder="1"/>
    </xf>
    <xf numFmtId="3" fontId="151" fillId="152" borderId="151" xfId="0" applyNumberFormat="1" applyFont="1" applyFill="1" applyBorder="1" applyAlignment="1">
      <alignment horizontal="right" wrapText="1" readingOrder="1"/>
    </xf>
    <xf numFmtId="3" fontId="152" fillId="153" borderId="152" xfId="0" applyNumberFormat="1" applyFont="1" applyFill="1" applyBorder="1" applyAlignment="1">
      <alignment horizontal="right" wrapText="1" readingOrder="1"/>
    </xf>
    <xf numFmtId="3" fontId="153" fillId="154" borderId="153" xfId="0" applyNumberFormat="1" applyFont="1" applyFill="1" applyBorder="1" applyAlignment="1">
      <alignment horizontal="right" wrapText="1" readingOrder="1"/>
    </xf>
    <xf numFmtId="3" fontId="154" fillId="155" borderId="154" xfId="0" applyNumberFormat="1" applyFont="1" applyFill="1" applyBorder="1" applyAlignment="1">
      <alignment horizontal="right" wrapText="1" readingOrder="1"/>
    </xf>
    <xf numFmtId="3" fontId="155" fillId="156" borderId="155" xfId="0" applyNumberFormat="1" applyFont="1" applyFill="1" applyBorder="1" applyAlignment="1">
      <alignment horizontal="right" wrapText="1" readingOrder="1"/>
    </xf>
    <xf numFmtId="3" fontId="156" fillId="157" borderId="156" xfId="0" applyNumberFormat="1" applyFont="1" applyFill="1" applyBorder="1" applyAlignment="1">
      <alignment horizontal="right" wrapText="1" readingOrder="1"/>
    </xf>
    <xf numFmtId="3" fontId="157" fillId="158" borderId="157" xfId="0" applyNumberFormat="1" applyFont="1" applyFill="1" applyBorder="1" applyAlignment="1">
      <alignment horizontal="right" wrapText="1" readingOrder="1"/>
    </xf>
    <xf numFmtId="3" fontId="158" fillId="159" borderId="158" xfId="0" applyNumberFormat="1" applyFont="1" applyFill="1" applyBorder="1" applyAlignment="1">
      <alignment horizontal="right" wrapText="1" readingOrder="1"/>
    </xf>
    <xf numFmtId="3" fontId="159" fillId="160" borderId="159" xfId="0" applyNumberFormat="1" applyFont="1" applyFill="1" applyBorder="1" applyAlignment="1">
      <alignment horizontal="right" wrapText="1" readingOrder="1"/>
    </xf>
    <xf numFmtId="3" fontId="160" fillId="161" borderId="160" xfId="0" applyNumberFormat="1" applyFont="1" applyFill="1" applyBorder="1" applyAlignment="1">
      <alignment horizontal="right" wrapText="1" readingOrder="1"/>
    </xf>
    <xf numFmtId="3" fontId="161" fillId="162" borderId="161" xfId="0" applyNumberFormat="1" applyFont="1" applyFill="1" applyBorder="1" applyAlignment="1">
      <alignment horizontal="right" wrapText="1" readingOrder="1"/>
    </xf>
    <xf numFmtId="3" fontId="162" fillId="163" borderId="162" xfId="0" applyNumberFormat="1" applyFont="1" applyFill="1" applyBorder="1" applyAlignment="1">
      <alignment horizontal="right" wrapText="1" readingOrder="1"/>
    </xf>
    <xf numFmtId="3" fontId="163" fillId="164" borderId="163" xfId="0" applyNumberFormat="1" applyFont="1" applyFill="1" applyBorder="1" applyAlignment="1">
      <alignment horizontal="right" wrapText="1" readingOrder="1"/>
    </xf>
    <xf numFmtId="3" fontId="164" fillId="165" borderId="164" xfId="0" applyNumberFormat="1" applyFont="1" applyFill="1" applyBorder="1" applyAlignment="1">
      <alignment horizontal="right" wrapText="1" readingOrder="1"/>
    </xf>
    <xf numFmtId="0" fontId="165" fillId="166" borderId="165" xfId="0" applyFont="1" applyFill="1" applyBorder="1" applyAlignment="1">
      <alignment horizontal="left" vertical="top" wrapText="1" readingOrder="1"/>
    </xf>
    <xf numFmtId="0" fontId="166" fillId="167" borderId="166" xfId="0" applyFont="1" applyFill="1" applyBorder="1" applyAlignment="1">
      <alignment horizontal="right" vertical="top" wrapText="1" readingOrder="1"/>
    </xf>
    <xf numFmtId="3" fontId="167" fillId="168" borderId="167" xfId="0" applyNumberFormat="1" applyFont="1" applyFill="1" applyBorder="1" applyAlignment="1">
      <alignment horizontal="right" wrapText="1" readingOrder="1"/>
    </xf>
    <xf numFmtId="3" fontId="168" fillId="169" borderId="168" xfId="0" applyNumberFormat="1" applyFont="1" applyFill="1" applyBorder="1" applyAlignment="1">
      <alignment horizontal="right" wrapText="1" readingOrder="1"/>
    </xf>
    <xf numFmtId="3" fontId="169" fillId="170" borderId="169" xfId="0" applyNumberFormat="1" applyFont="1" applyFill="1" applyBorder="1" applyAlignment="1">
      <alignment horizontal="right" wrapText="1" readingOrder="1"/>
    </xf>
    <xf numFmtId="3" fontId="170" fillId="171" borderId="170" xfId="0" applyNumberFormat="1" applyFont="1" applyFill="1" applyBorder="1" applyAlignment="1">
      <alignment horizontal="right" wrapText="1" readingOrder="1"/>
    </xf>
    <xf numFmtId="3" fontId="171" fillId="172" borderId="171" xfId="0" applyNumberFormat="1" applyFont="1" applyFill="1" applyBorder="1" applyAlignment="1">
      <alignment horizontal="right" wrapText="1" readingOrder="1"/>
    </xf>
    <xf numFmtId="3" fontId="172" fillId="173" borderId="172" xfId="0" applyNumberFormat="1" applyFont="1" applyFill="1" applyBorder="1" applyAlignment="1">
      <alignment horizontal="right" wrapText="1" readingOrder="1"/>
    </xf>
    <xf numFmtId="164" fontId="173" fillId="174" borderId="173" xfId="0" applyNumberFormat="1" applyFont="1" applyFill="1" applyBorder="1" applyAlignment="1">
      <alignment horizontal="right" wrapText="1" readingOrder="1"/>
    </xf>
    <xf numFmtId="3" fontId="174" fillId="175" borderId="174" xfId="0" applyNumberFormat="1" applyFont="1" applyFill="1" applyBorder="1" applyAlignment="1">
      <alignment horizontal="right" wrapText="1" readingOrder="1"/>
    </xf>
    <xf numFmtId="3" fontId="175" fillId="176" borderId="175" xfId="0" applyNumberFormat="1" applyFont="1" applyFill="1" applyBorder="1" applyAlignment="1">
      <alignment horizontal="right" wrapText="1" readingOrder="1"/>
    </xf>
    <xf numFmtId="3" fontId="176" fillId="177" borderId="176" xfId="0" applyNumberFormat="1" applyFont="1" applyFill="1" applyBorder="1" applyAlignment="1">
      <alignment horizontal="right" wrapText="1" readingOrder="1"/>
    </xf>
    <xf numFmtId="3" fontId="177" fillId="178" borderId="177" xfId="0" applyNumberFormat="1" applyFont="1" applyFill="1" applyBorder="1" applyAlignment="1">
      <alignment horizontal="right" wrapText="1" readingOrder="1"/>
    </xf>
    <xf numFmtId="3" fontId="178" fillId="179" borderId="178" xfId="0" applyNumberFormat="1" applyFont="1" applyFill="1" applyBorder="1" applyAlignment="1">
      <alignment horizontal="right" wrapText="1" readingOrder="1"/>
    </xf>
    <xf numFmtId="3" fontId="179" fillId="180" borderId="179" xfId="0" applyNumberFormat="1" applyFont="1" applyFill="1" applyBorder="1" applyAlignment="1">
      <alignment horizontal="right" wrapText="1" readingOrder="1"/>
    </xf>
    <xf numFmtId="3" fontId="180" fillId="181" borderId="180" xfId="0" applyNumberFormat="1" applyFont="1" applyFill="1" applyBorder="1" applyAlignment="1">
      <alignment horizontal="right" wrapText="1" readingOrder="1"/>
    </xf>
    <xf numFmtId="3" fontId="181" fillId="182" borderId="181" xfId="0" applyNumberFormat="1" applyFont="1" applyFill="1" applyBorder="1" applyAlignment="1">
      <alignment horizontal="right" wrapText="1" readingOrder="1"/>
    </xf>
    <xf numFmtId="3" fontId="182" fillId="183" borderId="182" xfId="0" applyNumberFormat="1" applyFont="1" applyFill="1" applyBorder="1" applyAlignment="1">
      <alignment horizontal="right" wrapText="1" readingOrder="1"/>
    </xf>
    <xf numFmtId="3" fontId="183" fillId="184" borderId="183" xfId="0" applyNumberFormat="1" applyFont="1" applyFill="1" applyBorder="1" applyAlignment="1">
      <alignment horizontal="right" wrapText="1" readingOrder="1"/>
    </xf>
    <xf numFmtId="3" fontId="184" fillId="185" borderId="184" xfId="0" applyNumberFormat="1" applyFont="1" applyFill="1" applyBorder="1" applyAlignment="1">
      <alignment horizontal="right" wrapText="1" readingOrder="1"/>
    </xf>
    <xf numFmtId="3" fontId="185" fillId="186" borderId="185" xfId="0" applyNumberFormat="1" applyFont="1" applyFill="1" applyBorder="1" applyAlignment="1">
      <alignment horizontal="right" wrapText="1" readingOrder="1"/>
    </xf>
    <xf numFmtId="3" fontId="186" fillId="187" borderId="186" xfId="0" applyNumberFormat="1" applyFont="1" applyFill="1" applyBorder="1" applyAlignment="1">
      <alignment horizontal="right" wrapText="1" readingOrder="1"/>
    </xf>
    <xf numFmtId="3" fontId="187" fillId="188" borderId="187" xfId="0" applyNumberFormat="1" applyFont="1" applyFill="1" applyBorder="1" applyAlignment="1">
      <alignment horizontal="right" wrapText="1" readingOrder="1"/>
    </xf>
    <xf numFmtId="0" fontId="188" fillId="189" borderId="188" xfId="0" applyFont="1" applyFill="1" applyBorder="1" applyAlignment="1">
      <alignment horizontal="left" vertical="top" wrapText="1" readingOrder="1"/>
    </xf>
    <xf numFmtId="0" fontId="189" fillId="190" borderId="189" xfId="0" applyFont="1" applyFill="1" applyBorder="1" applyAlignment="1">
      <alignment horizontal="right" vertical="top" wrapText="1" readingOrder="1"/>
    </xf>
    <xf numFmtId="3" fontId="190" fillId="191" borderId="190" xfId="0" applyNumberFormat="1" applyFont="1" applyFill="1" applyBorder="1" applyAlignment="1">
      <alignment horizontal="right" wrapText="1" readingOrder="1"/>
    </xf>
    <xf numFmtId="3" fontId="191" fillId="192" borderId="191" xfId="0" applyNumberFormat="1" applyFont="1" applyFill="1" applyBorder="1" applyAlignment="1">
      <alignment horizontal="right" wrapText="1" readingOrder="1"/>
    </xf>
    <xf numFmtId="3" fontId="192" fillId="193" borderId="192" xfId="0" applyNumberFormat="1" applyFont="1" applyFill="1" applyBorder="1" applyAlignment="1">
      <alignment horizontal="right" wrapText="1" readingOrder="1"/>
    </xf>
    <xf numFmtId="3" fontId="193" fillId="194" borderId="193" xfId="0" applyNumberFormat="1" applyFont="1" applyFill="1" applyBorder="1" applyAlignment="1">
      <alignment horizontal="right" wrapText="1" readingOrder="1"/>
    </xf>
    <xf numFmtId="3" fontId="194" fillId="195" borderId="194" xfId="0" applyNumberFormat="1" applyFont="1" applyFill="1" applyBorder="1" applyAlignment="1">
      <alignment horizontal="right" wrapText="1" readingOrder="1"/>
    </xf>
    <xf numFmtId="3" fontId="195" fillId="196" borderId="195" xfId="0" applyNumberFormat="1" applyFont="1" applyFill="1" applyBorder="1" applyAlignment="1">
      <alignment horizontal="right" wrapText="1" readingOrder="1"/>
    </xf>
    <xf numFmtId="164" fontId="196" fillId="197" borderId="196" xfId="0" applyNumberFormat="1" applyFont="1" applyFill="1" applyBorder="1" applyAlignment="1">
      <alignment horizontal="right" wrapText="1" readingOrder="1"/>
    </xf>
    <xf numFmtId="3" fontId="197" fillId="198" borderId="197" xfId="0" applyNumberFormat="1" applyFont="1" applyFill="1" applyBorder="1" applyAlignment="1">
      <alignment horizontal="right" wrapText="1" readingOrder="1"/>
    </xf>
    <xf numFmtId="3" fontId="198" fillId="199" borderId="198" xfId="0" applyNumberFormat="1" applyFont="1" applyFill="1" applyBorder="1" applyAlignment="1">
      <alignment horizontal="right" wrapText="1" readingOrder="1"/>
    </xf>
    <xf numFmtId="3" fontId="199" fillId="200" borderId="199" xfId="0" applyNumberFormat="1" applyFont="1" applyFill="1" applyBorder="1" applyAlignment="1">
      <alignment horizontal="right" wrapText="1" readingOrder="1"/>
    </xf>
    <xf numFmtId="3" fontId="200" fillId="201" borderId="200" xfId="0" applyNumberFormat="1" applyFont="1" applyFill="1" applyBorder="1" applyAlignment="1">
      <alignment horizontal="right" wrapText="1" readingOrder="1"/>
    </xf>
    <xf numFmtId="3" fontId="201" fillId="202" borderId="201" xfId="0" applyNumberFormat="1" applyFont="1" applyFill="1" applyBorder="1" applyAlignment="1">
      <alignment horizontal="right" wrapText="1" readingOrder="1"/>
    </xf>
    <xf numFmtId="3" fontId="202" fillId="203" borderId="202" xfId="0" applyNumberFormat="1" applyFont="1" applyFill="1" applyBorder="1" applyAlignment="1">
      <alignment horizontal="right" wrapText="1" readingOrder="1"/>
    </xf>
    <xf numFmtId="3" fontId="203" fillId="204" borderId="203" xfId="0" applyNumberFormat="1" applyFont="1" applyFill="1" applyBorder="1" applyAlignment="1">
      <alignment horizontal="right" wrapText="1" readingOrder="1"/>
    </xf>
    <xf numFmtId="3" fontId="204" fillId="205" borderId="204" xfId="0" applyNumberFormat="1" applyFont="1" applyFill="1" applyBorder="1" applyAlignment="1">
      <alignment horizontal="right" wrapText="1" readingOrder="1"/>
    </xf>
    <xf numFmtId="3" fontId="205" fillId="206" borderId="205" xfId="0" applyNumberFormat="1" applyFont="1" applyFill="1" applyBorder="1" applyAlignment="1">
      <alignment horizontal="right" wrapText="1" readingOrder="1"/>
    </xf>
    <xf numFmtId="3" fontId="206" fillId="207" borderId="206" xfId="0" applyNumberFormat="1" applyFont="1" applyFill="1" applyBorder="1" applyAlignment="1">
      <alignment horizontal="right" wrapText="1" readingOrder="1"/>
    </xf>
    <xf numFmtId="3" fontId="207" fillId="208" borderId="207" xfId="0" applyNumberFormat="1" applyFont="1" applyFill="1" applyBorder="1" applyAlignment="1">
      <alignment horizontal="right" wrapText="1" readingOrder="1"/>
    </xf>
    <xf numFmtId="3" fontId="208" fillId="209" borderId="208" xfId="0" applyNumberFormat="1" applyFont="1" applyFill="1" applyBorder="1" applyAlignment="1">
      <alignment horizontal="right" wrapText="1" readingOrder="1"/>
    </xf>
    <xf numFmtId="3" fontId="209" fillId="210" borderId="209" xfId="0" applyNumberFormat="1" applyFont="1" applyFill="1" applyBorder="1" applyAlignment="1">
      <alignment horizontal="right" wrapText="1" readingOrder="1"/>
    </xf>
    <xf numFmtId="3" fontId="210" fillId="211" borderId="210" xfId="0" applyNumberFormat="1" applyFont="1" applyFill="1" applyBorder="1" applyAlignment="1">
      <alignment horizontal="right" wrapText="1" readingOrder="1"/>
    </xf>
    <xf numFmtId="0" fontId="211" fillId="212" borderId="211" xfId="0" applyFont="1" applyFill="1" applyBorder="1" applyAlignment="1">
      <alignment horizontal="left" vertical="top" wrapText="1" readingOrder="1"/>
    </xf>
    <xf numFmtId="0" fontId="212" fillId="213" borderId="212" xfId="0" applyFont="1" applyFill="1" applyBorder="1" applyAlignment="1">
      <alignment horizontal="right" vertical="top" wrapText="1" readingOrder="1"/>
    </xf>
    <xf numFmtId="3" fontId="213" fillId="214" borderId="213" xfId="0" applyNumberFormat="1" applyFont="1" applyFill="1" applyBorder="1" applyAlignment="1">
      <alignment horizontal="right" wrapText="1" readingOrder="1"/>
    </xf>
    <xf numFmtId="3" fontId="214" fillId="215" borderId="214" xfId="0" applyNumberFormat="1" applyFont="1" applyFill="1" applyBorder="1" applyAlignment="1">
      <alignment horizontal="right" wrapText="1" readingOrder="1"/>
    </xf>
    <xf numFmtId="3" fontId="215" fillId="216" borderId="215" xfId="0" applyNumberFormat="1" applyFont="1" applyFill="1" applyBorder="1" applyAlignment="1">
      <alignment horizontal="right" wrapText="1" readingOrder="1"/>
    </xf>
    <xf numFmtId="3" fontId="216" fillId="217" borderId="216" xfId="0" applyNumberFormat="1" applyFont="1" applyFill="1" applyBorder="1" applyAlignment="1">
      <alignment horizontal="right" wrapText="1" readingOrder="1"/>
    </xf>
    <xf numFmtId="3" fontId="217" fillId="218" borderId="217" xfId="0" applyNumberFormat="1" applyFont="1" applyFill="1" applyBorder="1" applyAlignment="1">
      <alignment horizontal="right" wrapText="1" readingOrder="1"/>
    </xf>
    <xf numFmtId="3" fontId="218" fillId="219" borderId="218" xfId="0" applyNumberFormat="1" applyFont="1" applyFill="1" applyBorder="1" applyAlignment="1">
      <alignment horizontal="right" wrapText="1" readingOrder="1"/>
    </xf>
    <xf numFmtId="164" fontId="219" fillId="220" borderId="219" xfId="0" applyNumberFormat="1" applyFont="1" applyFill="1" applyBorder="1" applyAlignment="1">
      <alignment horizontal="right" wrapText="1" readingOrder="1"/>
    </xf>
    <xf numFmtId="3" fontId="220" fillId="221" borderId="220" xfId="0" applyNumberFormat="1" applyFont="1" applyFill="1" applyBorder="1" applyAlignment="1">
      <alignment horizontal="right" wrapText="1" readingOrder="1"/>
    </xf>
    <xf numFmtId="3" fontId="221" fillId="222" borderId="221" xfId="0" applyNumberFormat="1" applyFont="1" applyFill="1" applyBorder="1" applyAlignment="1">
      <alignment horizontal="right" wrapText="1" readingOrder="1"/>
    </xf>
    <xf numFmtId="3" fontId="222" fillId="223" borderId="222" xfId="0" applyNumberFormat="1" applyFont="1" applyFill="1" applyBorder="1" applyAlignment="1">
      <alignment horizontal="right" wrapText="1" readingOrder="1"/>
    </xf>
    <xf numFmtId="3" fontId="223" fillId="224" borderId="223" xfId="0" applyNumberFormat="1" applyFont="1" applyFill="1" applyBorder="1" applyAlignment="1">
      <alignment horizontal="right" wrapText="1" readingOrder="1"/>
    </xf>
    <xf numFmtId="3" fontId="224" fillId="225" borderId="224" xfId="0" applyNumberFormat="1" applyFont="1" applyFill="1" applyBorder="1" applyAlignment="1">
      <alignment horizontal="right" wrapText="1" readingOrder="1"/>
    </xf>
    <xf numFmtId="3" fontId="225" fillId="226" borderId="225" xfId="0" applyNumberFormat="1" applyFont="1" applyFill="1" applyBorder="1" applyAlignment="1">
      <alignment horizontal="right" wrapText="1" readingOrder="1"/>
    </xf>
    <xf numFmtId="3" fontId="226" fillId="227" borderId="226" xfId="0" applyNumberFormat="1" applyFont="1" applyFill="1" applyBorder="1" applyAlignment="1">
      <alignment horizontal="right" wrapText="1" readingOrder="1"/>
    </xf>
    <xf numFmtId="3" fontId="227" fillId="228" borderId="227" xfId="0" applyNumberFormat="1" applyFont="1" applyFill="1" applyBorder="1" applyAlignment="1">
      <alignment horizontal="right" wrapText="1" readingOrder="1"/>
    </xf>
    <xf numFmtId="3" fontId="228" fillId="229" borderId="228" xfId="0" applyNumberFormat="1" applyFont="1" applyFill="1" applyBorder="1" applyAlignment="1">
      <alignment horizontal="right" wrapText="1" readingOrder="1"/>
    </xf>
    <xf numFmtId="3" fontId="229" fillId="230" borderId="229" xfId="0" applyNumberFormat="1" applyFont="1" applyFill="1" applyBorder="1" applyAlignment="1">
      <alignment horizontal="right" wrapText="1" readingOrder="1"/>
    </xf>
    <xf numFmtId="3" fontId="230" fillId="231" borderId="230" xfId="0" applyNumberFormat="1" applyFont="1" applyFill="1" applyBorder="1" applyAlignment="1">
      <alignment horizontal="right" wrapText="1" readingOrder="1"/>
    </xf>
    <xf numFmtId="3" fontId="231" fillId="232" borderId="231" xfId="0" applyNumberFormat="1" applyFont="1" applyFill="1" applyBorder="1" applyAlignment="1">
      <alignment horizontal="right" wrapText="1" readingOrder="1"/>
    </xf>
    <xf numFmtId="3" fontId="232" fillId="233" borderId="232" xfId="0" applyNumberFormat="1" applyFont="1" applyFill="1" applyBorder="1" applyAlignment="1">
      <alignment horizontal="right" wrapText="1" readingOrder="1"/>
    </xf>
    <xf numFmtId="3" fontId="233" fillId="234" borderId="233" xfId="0" applyNumberFormat="1" applyFont="1" applyFill="1" applyBorder="1" applyAlignment="1">
      <alignment horizontal="right" wrapText="1" readingOrder="1"/>
    </xf>
    <xf numFmtId="0" fontId="234" fillId="235" borderId="234" xfId="0" applyFont="1" applyFill="1" applyBorder="1" applyAlignment="1">
      <alignment horizontal="left" vertical="top" wrapText="1" readingOrder="1"/>
    </xf>
    <xf numFmtId="0" fontId="235" fillId="236" borderId="235" xfId="0" applyFont="1" applyFill="1" applyBorder="1" applyAlignment="1">
      <alignment horizontal="right" vertical="top" wrapText="1" readingOrder="1"/>
    </xf>
    <xf numFmtId="3" fontId="236" fillId="237" borderId="236" xfId="0" applyNumberFormat="1" applyFont="1" applyFill="1" applyBorder="1" applyAlignment="1">
      <alignment horizontal="right" wrapText="1" readingOrder="1"/>
    </xf>
    <xf numFmtId="3" fontId="237" fillId="238" borderId="237" xfId="0" applyNumberFormat="1" applyFont="1" applyFill="1" applyBorder="1" applyAlignment="1">
      <alignment horizontal="right" wrapText="1" readingOrder="1"/>
    </xf>
    <xf numFmtId="3" fontId="238" fillId="239" borderId="238" xfId="0" applyNumberFormat="1" applyFont="1" applyFill="1" applyBorder="1" applyAlignment="1">
      <alignment horizontal="right" wrapText="1" readingOrder="1"/>
    </xf>
    <xf numFmtId="3" fontId="239" fillId="240" borderId="239" xfId="0" applyNumberFormat="1" applyFont="1" applyFill="1" applyBorder="1" applyAlignment="1">
      <alignment horizontal="right" wrapText="1" readingOrder="1"/>
    </xf>
    <xf numFmtId="3" fontId="240" fillId="241" borderId="240" xfId="0" applyNumberFormat="1" applyFont="1" applyFill="1" applyBorder="1" applyAlignment="1">
      <alignment horizontal="right" wrapText="1" readingOrder="1"/>
    </xf>
    <xf numFmtId="3" fontId="241" fillId="242" borderId="241" xfId="0" applyNumberFormat="1" applyFont="1" applyFill="1" applyBorder="1" applyAlignment="1">
      <alignment horizontal="right" wrapText="1" readingOrder="1"/>
    </xf>
    <xf numFmtId="164" fontId="242" fillId="243" borderId="242" xfId="0" applyNumberFormat="1" applyFont="1" applyFill="1" applyBorder="1" applyAlignment="1">
      <alignment horizontal="right" wrapText="1" readingOrder="1"/>
    </xf>
    <xf numFmtId="3" fontId="243" fillId="244" borderId="243" xfId="0" applyNumberFormat="1" applyFont="1" applyFill="1" applyBorder="1" applyAlignment="1">
      <alignment horizontal="right" wrapText="1" readingOrder="1"/>
    </xf>
    <xf numFmtId="3" fontId="244" fillId="245" borderId="244" xfId="0" applyNumberFormat="1" applyFont="1" applyFill="1" applyBorder="1" applyAlignment="1">
      <alignment horizontal="right" wrapText="1" readingOrder="1"/>
    </xf>
    <xf numFmtId="3" fontId="245" fillId="246" borderId="245" xfId="0" applyNumberFormat="1" applyFont="1" applyFill="1" applyBorder="1" applyAlignment="1">
      <alignment horizontal="right" wrapText="1" readingOrder="1"/>
    </xf>
    <xf numFmtId="3" fontId="246" fillId="247" borderId="246" xfId="0" applyNumberFormat="1" applyFont="1" applyFill="1" applyBorder="1" applyAlignment="1">
      <alignment horizontal="right" wrapText="1" readingOrder="1"/>
    </xf>
    <xf numFmtId="3" fontId="247" fillId="248" borderId="247" xfId="0" applyNumberFormat="1" applyFont="1" applyFill="1" applyBorder="1" applyAlignment="1">
      <alignment horizontal="right" wrapText="1" readingOrder="1"/>
    </xf>
    <xf numFmtId="3" fontId="248" fillId="249" borderId="248" xfId="0" applyNumberFormat="1" applyFont="1" applyFill="1" applyBorder="1" applyAlignment="1">
      <alignment horizontal="right" wrapText="1" readingOrder="1"/>
    </xf>
    <xf numFmtId="3" fontId="249" fillId="250" borderId="249" xfId="0" applyNumberFormat="1" applyFont="1" applyFill="1" applyBorder="1" applyAlignment="1">
      <alignment horizontal="right" wrapText="1" readingOrder="1"/>
    </xf>
    <xf numFmtId="3" fontId="250" fillId="251" borderId="250" xfId="0" applyNumberFormat="1" applyFont="1" applyFill="1" applyBorder="1" applyAlignment="1">
      <alignment horizontal="right" wrapText="1" readingOrder="1"/>
    </xf>
    <xf numFmtId="3" fontId="251" fillId="252" borderId="251" xfId="0" applyNumberFormat="1" applyFont="1" applyFill="1" applyBorder="1" applyAlignment="1">
      <alignment horizontal="right" wrapText="1" readingOrder="1"/>
    </xf>
    <xf numFmtId="3" fontId="252" fillId="253" borderId="252" xfId="0" applyNumberFormat="1" applyFont="1" applyFill="1" applyBorder="1" applyAlignment="1">
      <alignment horizontal="right" wrapText="1" readingOrder="1"/>
    </xf>
    <xf numFmtId="3" fontId="253" fillId="254" borderId="253" xfId="0" applyNumberFormat="1" applyFont="1" applyFill="1" applyBorder="1" applyAlignment="1">
      <alignment horizontal="right" wrapText="1" readingOrder="1"/>
    </xf>
    <xf numFmtId="3" fontId="254" fillId="255" borderId="254" xfId="0" applyNumberFormat="1" applyFont="1" applyFill="1" applyBorder="1" applyAlignment="1">
      <alignment horizontal="right" wrapText="1" readingOrder="1"/>
    </xf>
    <xf numFmtId="3" fontId="255" fillId="256" borderId="255" xfId="0" applyNumberFormat="1" applyFont="1" applyFill="1" applyBorder="1" applyAlignment="1">
      <alignment horizontal="right" wrapText="1" readingOrder="1"/>
    </xf>
    <xf numFmtId="3" fontId="256" fillId="257" borderId="256" xfId="0" applyNumberFormat="1" applyFont="1" applyFill="1" applyBorder="1" applyAlignment="1">
      <alignment horizontal="right" wrapText="1" readingOrder="1"/>
    </xf>
    <xf numFmtId="0" fontId="257" fillId="258" borderId="257" xfId="0" applyFont="1" applyFill="1" applyBorder="1" applyAlignment="1">
      <alignment horizontal="left" vertical="top" wrapText="1" readingOrder="1"/>
    </xf>
    <xf numFmtId="0" fontId="258" fillId="259" borderId="258" xfId="0" applyFont="1" applyFill="1" applyBorder="1" applyAlignment="1">
      <alignment horizontal="right" vertical="top" wrapText="1" readingOrder="1"/>
    </xf>
    <xf numFmtId="3" fontId="259" fillId="260" borderId="259" xfId="0" applyNumberFormat="1" applyFont="1" applyFill="1" applyBorder="1" applyAlignment="1">
      <alignment horizontal="right" wrapText="1" readingOrder="1"/>
    </xf>
    <xf numFmtId="3" fontId="260" fillId="261" borderId="260" xfId="0" applyNumberFormat="1" applyFont="1" applyFill="1" applyBorder="1" applyAlignment="1">
      <alignment horizontal="right" wrapText="1" readingOrder="1"/>
    </xf>
    <xf numFmtId="3" fontId="261" fillId="262" borderId="261" xfId="0" applyNumberFormat="1" applyFont="1" applyFill="1" applyBorder="1" applyAlignment="1">
      <alignment horizontal="right" wrapText="1" readingOrder="1"/>
    </xf>
    <xf numFmtId="3" fontId="262" fillId="263" borderId="262" xfId="0" applyNumberFormat="1" applyFont="1" applyFill="1" applyBorder="1" applyAlignment="1">
      <alignment horizontal="right" wrapText="1" readingOrder="1"/>
    </xf>
    <xf numFmtId="3" fontId="263" fillId="264" borderId="263" xfId="0" applyNumberFormat="1" applyFont="1" applyFill="1" applyBorder="1" applyAlignment="1">
      <alignment horizontal="right" wrapText="1" readingOrder="1"/>
    </xf>
    <xf numFmtId="3" fontId="264" fillId="265" borderId="264" xfId="0" applyNumberFormat="1" applyFont="1" applyFill="1" applyBorder="1" applyAlignment="1">
      <alignment horizontal="right" wrapText="1" readingOrder="1"/>
    </xf>
    <xf numFmtId="164" fontId="265" fillId="266" borderId="265" xfId="0" applyNumberFormat="1" applyFont="1" applyFill="1" applyBorder="1" applyAlignment="1">
      <alignment horizontal="right" wrapText="1" readingOrder="1"/>
    </xf>
    <xf numFmtId="3" fontId="266" fillId="267" borderId="266" xfId="0" applyNumberFormat="1" applyFont="1" applyFill="1" applyBorder="1" applyAlignment="1">
      <alignment horizontal="right" wrapText="1" readingOrder="1"/>
    </xf>
    <xf numFmtId="3" fontId="267" fillId="268" borderId="267" xfId="0" applyNumberFormat="1" applyFont="1" applyFill="1" applyBorder="1" applyAlignment="1">
      <alignment horizontal="right" wrapText="1" readingOrder="1"/>
    </xf>
    <xf numFmtId="3" fontId="268" fillId="269" borderId="268" xfId="0" applyNumberFormat="1" applyFont="1" applyFill="1" applyBorder="1" applyAlignment="1">
      <alignment horizontal="right" wrapText="1" readingOrder="1"/>
    </xf>
    <xf numFmtId="3" fontId="269" fillId="270" borderId="269" xfId="0" applyNumberFormat="1" applyFont="1" applyFill="1" applyBorder="1" applyAlignment="1">
      <alignment horizontal="right" wrapText="1" readingOrder="1"/>
    </xf>
    <xf numFmtId="3" fontId="270" fillId="271" borderId="270" xfId="0" applyNumberFormat="1" applyFont="1" applyFill="1" applyBorder="1" applyAlignment="1">
      <alignment horizontal="right" wrapText="1" readingOrder="1"/>
    </xf>
    <xf numFmtId="3" fontId="271" fillId="272" borderId="271" xfId="0" applyNumberFormat="1" applyFont="1" applyFill="1" applyBorder="1" applyAlignment="1">
      <alignment horizontal="right" wrapText="1" readingOrder="1"/>
    </xf>
    <xf numFmtId="3" fontId="272" fillId="273" borderId="272" xfId="0" applyNumberFormat="1" applyFont="1" applyFill="1" applyBorder="1" applyAlignment="1">
      <alignment horizontal="right" wrapText="1" readingOrder="1"/>
    </xf>
    <xf numFmtId="3" fontId="273" fillId="274" borderId="273" xfId="0" applyNumberFormat="1" applyFont="1" applyFill="1" applyBorder="1" applyAlignment="1">
      <alignment horizontal="right" wrapText="1" readingOrder="1"/>
    </xf>
    <xf numFmtId="3" fontId="274" fillId="275" borderId="274" xfId="0" applyNumberFormat="1" applyFont="1" applyFill="1" applyBorder="1" applyAlignment="1">
      <alignment horizontal="right" wrapText="1" readingOrder="1"/>
    </xf>
    <xf numFmtId="3" fontId="275" fillId="276" borderId="275" xfId="0" applyNumberFormat="1" applyFont="1" applyFill="1" applyBorder="1" applyAlignment="1">
      <alignment horizontal="right" wrapText="1" readingOrder="1"/>
    </xf>
    <xf numFmtId="3" fontId="276" fillId="277" borderId="276" xfId="0" applyNumberFormat="1" applyFont="1" applyFill="1" applyBorder="1" applyAlignment="1">
      <alignment horizontal="right" wrapText="1" readingOrder="1"/>
    </xf>
    <xf numFmtId="3" fontId="277" fillId="278" borderId="277" xfId="0" applyNumberFormat="1" applyFont="1" applyFill="1" applyBorder="1" applyAlignment="1">
      <alignment horizontal="right" wrapText="1" readingOrder="1"/>
    </xf>
    <xf numFmtId="3" fontId="278" fillId="279" borderId="278" xfId="0" applyNumberFormat="1" applyFont="1" applyFill="1" applyBorder="1" applyAlignment="1">
      <alignment horizontal="right" wrapText="1" readingOrder="1"/>
    </xf>
    <xf numFmtId="3" fontId="279" fillId="280" borderId="279" xfId="0" applyNumberFormat="1" applyFont="1" applyFill="1" applyBorder="1" applyAlignment="1">
      <alignment horizontal="right" wrapText="1" readingOrder="1"/>
    </xf>
    <xf numFmtId="0" fontId="280" fillId="281" borderId="280" xfId="0" applyFont="1" applyFill="1" applyBorder="1" applyAlignment="1">
      <alignment horizontal="left" vertical="top" wrapText="1" readingOrder="1"/>
    </xf>
    <xf numFmtId="0" fontId="281" fillId="282" borderId="281" xfId="0" applyFont="1" applyFill="1" applyBorder="1" applyAlignment="1">
      <alignment horizontal="right" vertical="top" wrapText="1" readingOrder="1"/>
    </xf>
    <xf numFmtId="3" fontId="282" fillId="283" borderId="282" xfId="0" applyNumberFormat="1" applyFont="1" applyFill="1" applyBorder="1" applyAlignment="1">
      <alignment horizontal="right" wrapText="1" readingOrder="1"/>
    </xf>
    <xf numFmtId="3" fontId="283" fillId="284" borderId="283" xfId="0" applyNumberFormat="1" applyFont="1" applyFill="1" applyBorder="1" applyAlignment="1">
      <alignment horizontal="right" wrapText="1" readingOrder="1"/>
    </xf>
    <xf numFmtId="3" fontId="284" fillId="285" borderId="284" xfId="0" applyNumberFormat="1" applyFont="1" applyFill="1" applyBorder="1" applyAlignment="1">
      <alignment horizontal="right" wrapText="1" readingOrder="1"/>
    </xf>
    <xf numFmtId="3" fontId="285" fillId="286" borderId="285" xfId="0" applyNumberFormat="1" applyFont="1" applyFill="1" applyBorder="1" applyAlignment="1">
      <alignment horizontal="right" wrapText="1" readingOrder="1"/>
    </xf>
    <xf numFmtId="3" fontId="286" fillId="287" borderId="286" xfId="0" applyNumberFormat="1" applyFont="1" applyFill="1" applyBorder="1" applyAlignment="1">
      <alignment horizontal="right" wrapText="1" readingOrder="1"/>
    </xf>
    <xf numFmtId="3" fontId="287" fillId="288" borderId="287" xfId="0" applyNumberFormat="1" applyFont="1" applyFill="1" applyBorder="1" applyAlignment="1">
      <alignment horizontal="right" wrapText="1" readingOrder="1"/>
    </xf>
    <xf numFmtId="164" fontId="288" fillId="289" borderId="288" xfId="0" applyNumberFormat="1" applyFont="1" applyFill="1" applyBorder="1" applyAlignment="1">
      <alignment horizontal="right" wrapText="1" readingOrder="1"/>
    </xf>
    <xf numFmtId="3" fontId="289" fillId="290" borderId="289" xfId="0" applyNumberFormat="1" applyFont="1" applyFill="1" applyBorder="1" applyAlignment="1">
      <alignment horizontal="right" wrapText="1" readingOrder="1"/>
    </xf>
    <xf numFmtId="3" fontId="290" fillId="291" borderId="290" xfId="0" applyNumberFormat="1" applyFont="1" applyFill="1" applyBorder="1" applyAlignment="1">
      <alignment horizontal="right" wrapText="1" readingOrder="1"/>
    </xf>
    <xf numFmtId="3" fontId="291" fillId="292" borderId="291" xfId="0" applyNumberFormat="1" applyFont="1" applyFill="1" applyBorder="1" applyAlignment="1">
      <alignment horizontal="right" wrapText="1" readingOrder="1"/>
    </xf>
    <xf numFmtId="3" fontId="292" fillId="293" borderId="292" xfId="0" applyNumberFormat="1" applyFont="1" applyFill="1" applyBorder="1" applyAlignment="1">
      <alignment horizontal="right" wrapText="1" readingOrder="1"/>
    </xf>
    <xf numFmtId="3" fontId="293" fillId="294" borderId="293" xfId="0" applyNumberFormat="1" applyFont="1" applyFill="1" applyBorder="1" applyAlignment="1">
      <alignment horizontal="right" wrapText="1" readingOrder="1"/>
    </xf>
    <xf numFmtId="3" fontId="294" fillId="295" borderId="294" xfId="0" applyNumberFormat="1" applyFont="1" applyFill="1" applyBorder="1" applyAlignment="1">
      <alignment horizontal="right" wrapText="1" readingOrder="1"/>
    </xf>
    <xf numFmtId="3" fontId="295" fillId="296" borderId="295" xfId="0" applyNumberFormat="1" applyFont="1" applyFill="1" applyBorder="1" applyAlignment="1">
      <alignment horizontal="right" wrapText="1" readingOrder="1"/>
    </xf>
    <xf numFmtId="3" fontId="296" fillId="297" borderId="296" xfId="0" applyNumberFormat="1" applyFont="1" applyFill="1" applyBorder="1" applyAlignment="1">
      <alignment horizontal="right" wrapText="1" readingOrder="1"/>
    </xf>
    <xf numFmtId="3" fontId="297" fillId="298" borderId="297" xfId="0" applyNumberFormat="1" applyFont="1" applyFill="1" applyBorder="1" applyAlignment="1">
      <alignment horizontal="right" wrapText="1" readingOrder="1"/>
    </xf>
    <xf numFmtId="3" fontId="298" fillId="299" borderId="298" xfId="0" applyNumberFormat="1" applyFont="1" applyFill="1" applyBorder="1" applyAlignment="1">
      <alignment horizontal="right" wrapText="1" readingOrder="1"/>
    </xf>
    <xf numFmtId="3" fontId="299" fillId="300" borderId="299" xfId="0" applyNumberFormat="1" applyFont="1" applyFill="1" applyBorder="1" applyAlignment="1">
      <alignment horizontal="right" wrapText="1" readingOrder="1"/>
    </xf>
    <xf numFmtId="3" fontId="300" fillId="301" borderId="300" xfId="0" applyNumberFormat="1" applyFont="1" applyFill="1" applyBorder="1" applyAlignment="1">
      <alignment horizontal="right" wrapText="1" readingOrder="1"/>
    </xf>
    <xf numFmtId="3" fontId="301" fillId="302" borderId="301" xfId="0" applyNumberFormat="1" applyFont="1" applyFill="1" applyBorder="1" applyAlignment="1">
      <alignment horizontal="right" wrapText="1" readingOrder="1"/>
    </xf>
    <xf numFmtId="3" fontId="302" fillId="303" borderId="302" xfId="0" applyNumberFormat="1" applyFont="1" applyFill="1" applyBorder="1" applyAlignment="1">
      <alignment horizontal="right" wrapText="1" readingOrder="1"/>
    </xf>
    <xf numFmtId="0" fontId="303" fillId="304" borderId="303" xfId="0" applyFont="1" applyFill="1" applyBorder="1" applyAlignment="1">
      <alignment horizontal="left" vertical="top" wrapText="1" readingOrder="1"/>
    </xf>
    <xf numFmtId="0" fontId="304" fillId="305" borderId="304" xfId="0" applyFont="1" applyFill="1" applyBorder="1" applyAlignment="1">
      <alignment horizontal="right" vertical="top" wrapText="1" readingOrder="1"/>
    </xf>
    <xf numFmtId="3" fontId="305" fillId="306" borderId="305" xfId="0" applyNumberFormat="1" applyFont="1" applyFill="1" applyBorder="1" applyAlignment="1">
      <alignment horizontal="right" wrapText="1" readingOrder="1"/>
    </xf>
    <xf numFmtId="3" fontId="306" fillId="307" borderId="306" xfId="0" applyNumberFormat="1" applyFont="1" applyFill="1" applyBorder="1" applyAlignment="1">
      <alignment horizontal="right" wrapText="1" readingOrder="1"/>
    </xf>
    <xf numFmtId="3" fontId="307" fillId="308" borderId="307" xfId="0" applyNumberFormat="1" applyFont="1" applyFill="1" applyBorder="1" applyAlignment="1">
      <alignment horizontal="right" wrapText="1" readingOrder="1"/>
    </xf>
    <xf numFmtId="3" fontId="308" fillId="309" borderId="308" xfId="0" applyNumberFormat="1" applyFont="1" applyFill="1" applyBorder="1" applyAlignment="1">
      <alignment horizontal="right" wrapText="1" readingOrder="1"/>
    </xf>
    <xf numFmtId="3" fontId="309" fillId="310" borderId="309" xfId="0" applyNumberFormat="1" applyFont="1" applyFill="1" applyBorder="1" applyAlignment="1">
      <alignment horizontal="right" wrapText="1" readingOrder="1"/>
    </xf>
    <xf numFmtId="3" fontId="310" fillId="311" borderId="310" xfId="0" applyNumberFormat="1" applyFont="1" applyFill="1" applyBorder="1" applyAlignment="1">
      <alignment horizontal="right" wrapText="1" readingOrder="1"/>
    </xf>
    <xf numFmtId="164" fontId="311" fillId="312" borderId="311" xfId="0" applyNumberFormat="1" applyFont="1" applyFill="1" applyBorder="1" applyAlignment="1">
      <alignment horizontal="right" wrapText="1" readingOrder="1"/>
    </xf>
    <xf numFmtId="3" fontId="312" fillId="313" borderId="312" xfId="0" applyNumberFormat="1" applyFont="1" applyFill="1" applyBorder="1" applyAlignment="1">
      <alignment horizontal="right" wrapText="1" readingOrder="1"/>
    </xf>
    <xf numFmtId="3" fontId="313" fillId="314" borderId="313" xfId="0" applyNumberFormat="1" applyFont="1" applyFill="1" applyBorder="1" applyAlignment="1">
      <alignment horizontal="right" wrapText="1" readingOrder="1"/>
    </xf>
    <xf numFmtId="3" fontId="314" fillId="315" borderId="314" xfId="0" applyNumberFormat="1" applyFont="1" applyFill="1" applyBorder="1" applyAlignment="1">
      <alignment horizontal="right" wrapText="1" readingOrder="1"/>
    </xf>
    <xf numFmtId="3" fontId="315" fillId="316" borderId="315" xfId="0" applyNumberFormat="1" applyFont="1" applyFill="1" applyBorder="1" applyAlignment="1">
      <alignment horizontal="right" wrapText="1" readingOrder="1"/>
    </xf>
    <xf numFmtId="3" fontId="316" fillId="317" borderId="316" xfId="0" applyNumberFormat="1" applyFont="1" applyFill="1" applyBorder="1" applyAlignment="1">
      <alignment horizontal="right" wrapText="1" readingOrder="1"/>
    </xf>
    <xf numFmtId="3" fontId="317" fillId="318" borderId="317" xfId="0" applyNumberFormat="1" applyFont="1" applyFill="1" applyBorder="1" applyAlignment="1">
      <alignment horizontal="right" wrapText="1" readingOrder="1"/>
    </xf>
    <xf numFmtId="3" fontId="318" fillId="319" borderId="318" xfId="0" applyNumberFormat="1" applyFont="1" applyFill="1" applyBorder="1" applyAlignment="1">
      <alignment horizontal="right" wrapText="1" readingOrder="1"/>
    </xf>
    <xf numFmtId="3" fontId="319" fillId="320" borderId="319" xfId="0" applyNumberFormat="1" applyFont="1" applyFill="1" applyBorder="1" applyAlignment="1">
      <alignment horizontal="right" wrapText="1" readingOrder="1"/>
    </xf>
    <xf numFmtId="3" fontId="320" fillId="321" borderId="320" xfId="0" applyNumberFormat="1" applyFont="1" applyFill="1" applyBorder="1" applyAlignment="1">
      <alignment horizontal="right" wrapText="1" readingOrder="1"/>
    </xf>
    <xf numFmtId="3" fontId="321" fillId="322" borderId="321" xfId="0" applyNumberFormat="1" applyFont="1" applyFill="1" applyBorder="1" applyAlignment="1">
      <alignment horizontal="right" wrapText="1" readingOrder="1"/>
    </xf>
    <xf numFmtId="3" fontId="322" fillId="323" borderId="322" xfId="0" applyNumberFormat="1" applyFont="1" applyFill="1" applyBorder="1" applyAlignment="1">
      <alignment horizontal="right" wrapText="1" readingOrder="1"/>
    </xf>
    <xf numFmtId="3" fontId="323" fillId="324" borderId="323" xfId="0" applyNumberFormat="1" applyFont="1" applyFill="1" applyBorder="1" applyAlignment="1">
      <alignment horizontal="right" wrapText="1" readingOrder="1"/>
    </xf>
    <xf numFmtId="3" fontId="324" fillId="325" borderId="324" xfId="0" applyNumberFormat="1" applyFont="1" applyFill="1" applyBorder="1" applyAlignment="1">
      <alignment horizontal="right" wrapText="1" readingOrder="1"/>
    </xf>
    <xf numFmtId="3" fontId="325" fillId="326" borderId="325" xfId="0" applyNumberFormat="1" applyFont="1" applyFill="1" applyBorder="1" applyAlignment="1">
      <alignment horizontal="right" wrapText="1" readingOrder="1"/>
    </xf>
    <xf numFmtId="0" fontId="326" fillId="327" borderId="326" xfId="0" applyFont="1" applyFill="1" applyBorder="1" applyAlignment="1">
      <alignment horizontal="left" vertical="top" wrapText="1" readingOrder="1"/>
    </xf>
    <xf numFmtId="0" fontId="327" fillId="328" borderId="327" xfId="0" applyFont="1" applyFill="1" applyBorder="1" applyAlignment="1">
      <alignment horizontal="right" vertical="top" wrapText="1" readingOrder="1"/>
    </xf>
    <xf numFmtId="3" fontId="328" fillId="329" borderId="328" xfId="0" applyNumberFormat="1" applyFont="1" applyFill="1" applyBorder="1" applyAlignment="1">
      <alignment horizontal="right" wrapText="1" readingOrder="1"/>
    </xf>
    <xf numFmtId="3" fontId="329" fillId="330" borderId="329" xfId="0" applyNumberFormat="1" applyFont="1" applyFill="1" applyBorder="1" applyAlignment="1">
      <alignment horizontal="right" wrapText="1" readingOrder="1"/>
    </xf>
    <xf numFmtId="3" fontId="330" fillId="331" borderId="330" xfId="0" applyNumberFormat="1" applyFont="1" applyFill="1" applyBorder="1" applyAlignment="1">
      <alignment horizontal="right" wrapText="1" readingOrder="1"/>
    </xf>
    <xf numFmtId="3" fontId="331" fillId="332" borderId="331" xfId="0" applyNumberFormat="1" applyFont="1" applyFill="1" applyBorder="1" applyAlignment="1">
      <alignment horizontal="right" wrapText="1" readingOrder="1"/>
    </xf>
    <xf numFmtId="3" fontId="332" fillId="333" borderId="332" xfId="0" applyNumberFormat="1" applyFont="1" applyFill="1" applyBorder="1" applyAlignment="1">
      <alignment horizontal="right" wrapText="1" readingOrder="1"/>
    </xf>
    <xf numFmtId="3" fontId="333" fillId="334" borderId="333" xfId="0" applyNumberFormat="1" applyFont="1" applyFill="1" applyBorder="1" applyAlignment="1">
      <alignment horizontal="right" wrapText="1" readingOrder="1"/>
    </xf>
    <xf numFmtId="164" fontId="334" fillId="335" borderId="334" xfId="0" applyNumberFormat="1" applyFont="1" applyFill="1" applyBorder="1" applyAlignment="1">
      <alignment horizontal="right" wrapText="1" readingOrder="1"/>
    </xf>
    <xf numFmtId="3" fontId="335" fillId="336" borderId="335" xfId="0" applyNumberFormat="1" applyFont="1" applyFill="1" applyBorder="1" applyAlignment="1">
      <alignment horizontal="right" wrapText="1" readingOrder="1"/>
    </xf>
    <xf numFmtId="3" fontId="336" fillId="337" borderId="336" xfId="0" applyNumberFormat="1" applyFont="1" applyFill="1" applyBorder="1" applyAlignment="1">
      <alignment horizontal="right" wrapText="1" readingOrder="1"/>
    </xf>
    <xf numFmtId="3" fontId="337" fillId="338" borderId="337" xfId="0" applyNumberFormat="1" applyFont="1" applyFill="1" applyBorder="1" applyAlignment="1">
      <alignment horizontal="right" wrapText="1" readingOrder="1"/>
    </xf>
    <xf numFmtId="3" fontId="338" fillId="339" borderId="338" xfId="0" applyNumberFormat="1" applyFont="1" applyFill="1" applyBorder="1" applyAlignment="1">
      <alignment horizontal="right" wrapText="1" readingOrder="1"/>
    </xf>
    <xf numFmtId="3" fontId="339" fillId="340" borderId="339" xfId="0" applyNumberFormat="1" applyFont="1" applyFill="1" applyBorder="1" applyAlignment="1">
      <alignment horizontal="right" wrapText="1" readingOrder="1"/>
    </xf>
    <xf numFmtId="3" fontId="340" fillId="341" borderId="340" xfId="0" applyNumberFormat="1" applyFont="1" applyFill="1" applyBorder="1" applyAlignment="1">
      <alignment horizontal="right" wrapText="1" readingOrder="1"/>
    </xf>
    <xf numFmtId="3" fontId="341" fillId="342" borderId="341" xfId="0" applyNumberFormat="1" applyFont="1" applyFill="1" applyBorder="1" applyAlignment="1">
      <alignment horizontal="right" wrapText="1" readingOrder="1"/>
    </xf>
    <xf numFmtId="3" fontId="342" fillId="343" borderId="342" xfId="0" applyNumberFormat="1" applyFont="1" applyFill="1" applyBorder="1" applyAlignment="1">
      <alignment horizontal="right" wrapText="1" readingOrder="1"/>
    </xf>
    <xf numFmtId="3" fontId="343" fillId="344" borderId="343" xfId="0" applyNumberFormat="1" applyFont="1" applyFill="1" applyBorder="1" applyAlignment="1">
      <alignment horizontal="right" wrapText="1" readingOrder="1"/>
    </xf>
    <xf numFmtId="3" fontId="344" fillId="345" borderId="344" xfId="0" applyNumberFormat="1" applyFont="1" applyFill="1" applyBorder="1" applyAlignment="1">
      <alignment horizontal="right" wrapText="1" readingOrder="1"/>
    </xf>
    <xf numFmtId="3" fontId="345" fillId="346" borderId="345" xfId="0" applyNumberFormat="1" applyFont="1" applyFill="1" applyBorder="1" applyAlignment="1">
      <alignment horizontal="right" wrapText="1" readingOrder="1"/>
    </xf>
    <xf numFmtId="3" fontId="346" fillId="347" borderId="346" xfId="0" applyNumberFormat="1" applyFont="1" applyFill="1" applyBorder="1" applyAlignment="1">
      <alignment horizontal="right" wrapText="1" readingOrder="1"/>
    </xf>
    <xf numFmtId="3" fontId="347" fillId="348" borderId="347" xfId="0" applyNumberFormat="1" applyFont="1" applyFill="1" applyBorder="1" applyAlignment="1">
      <alignment horizontal="right" wrapText="1" readingOrder="1"/>
    </xf>
    <xf numFmtId="3" fontId="348" fillId="349" borderId="348" xfId="0" applyNumberFormat="1" applyFont="1" applyFill="1" applyBorder="1" applyAlignment="1">
      <alignment horizontal="right" wrapText="1" readingOrder="1"/>
    </xf>
    <xf numFmtId="0" fontId="349" fillId="350" borderId="349" xfId="0" applyFont="1" applyFill="1" applyBorder="1" applyAlignment="1">
      <alignment horizontal="left" vertical="top" wrapText="1" readingOrder="1"/>
    </xf>
    <xf numFmtId="0" fontId="350" fillId="351" borderId="350" xfId="0" applyFont="1" applyFill="1" applyBorder="1" applyAlignment="1">
      <alignment horizontal="right" vertical="top" wrapText="1" readingOrder="1"/>
    </xf>
    <xf numFmtId="3" fontId="351" fillId="352" borderId="351" xfId="0" applyNumberFormat="1" applyFont="1" applyFill="1" applyBorder="1" applyAlignment="1">
      <alignment horizontal="right" wrapText="1" readingOrder="1"/>
    </xf>
    <xf numFmtId="3" fontId="352" fillId="353" borderId="352" xfId="0" applyNumberFormat="1" applyFont="1" applyFill="1" applyBorder="1" applyAlignment="1">
      <alignment horizontal="right" wrapText="1" readingOrder="1"/>
    </xf>
    <xf numFmtId="3" fontId="353" fillId="354" borderId="353" xfId="0" applyNumberFormat="1" applyFont="1" applyFill="1" applyBorder="1" applyAlignment="1">
      <alignment horizontal="right" wrapText="1" readingOrder="1"/>
    </xf>
    <xf numFmtId="3" fontId="354" fillId="355" borderId="354" xfId="0" applyNumberFormat="1" applyFont="1" applyFill="1" applyBorder="1" applyAlignment="1">
      <alignment horizontal="right" wrapText="1" readingOrder="1"/>
    </xf>
    <xf numFmtId="3" fontId="355" fillId="356" borderId="355" xfId="0" applyNumberFormat="1" applyFont="1" applyFill="1" applyBorder="1" applyAlignment="1">
      <alignment horizontal="right" wrapText="1" readingOrder="1"/>
    </xf>
    <xf numFmtId="3" fontId="356" fillId="357" borderId="356" xfId="0" applyNumberFormat="1" applyFont="1" applyFill="1" applyBorder="1" applyAlignment="1">
      <alignment horizontal="right" wrapText="1" readingOrder="1"/>
    </xf>
    <xf numFmtId="164" fontId="357" fillId="358" borderId="357" xfId="0" applyNumberFormat="1" applyFont="1" applyFill="1" applyBorder="1" applyAlignment="1">
      <alignment horizontal="right" wrapText="1" readingOrder="1"/>
    </xf>
    <xf numFmtId="3" fontId="358" fillId="359" borderId="358" xfId="0" applyNumberFormat="1" applyFont="1" applyFill="1" applyBorder="1" applyAlignment="1">
      <alignment horizontal="right" wrapText="1" readingOrder="1"/>
    </xf>
    <xf numFmtId="3" fontId="359" fillId="360" borderId="359" xfId="0" applyNumberFormat="1" applyFont="1" applyFill="1" applyBorder="1" applyAlignment="1">
      <alignment horizontal="right" wrapText="1" readingOrder="1"/>
    </xf>
    <xf numFmtId="3" fontId="360" fillId="361" borderId="360" xfId="0" applyNumberFormat="1" applyFont="1" applyFill="1" applyBorder="1" applyAlignment="1">
      <alignment horizontal="right" wrapText="1" readingOrder="1"/>
    </xf>
    <xf numFmtId="3" fontId="361" fillId="362" borderId="361" xfId="0" applyNumberFormat="1" applyFont="1" applyFill="1" applyBorder="1" applyAlignment="1">
      <alignment horizontal="right" wrapText="1" readingOrder="1"/>
    </xf>
    <xf numFmtId="3" fontId="362" fillId="363" borderId="362" xfId="0" applyNumberFormat="1" applyFont="1" applyFill="1" applyBorder="1" applyAlignment="1">
      <alignment horizontal="right" wrapText="1" readingOrder="1"/>
    </xf>
    <xf numFmtId="3" fontId="363" fillId="364" borderId="363" xfId="0" applyNumberFormat="1" applyFont="1" applyFill="1" applyBorder="1" applyAlignment="1">
      <alignment horizontal="right" wrapText="1" readingOrder="1"/>
    </xf>
    <xf numFmtId="3" fontId="364" fillId="365" borderId="364" xfId="0" applyNumberFormat="1" applyFont="1" applyFill="1" applyBorder="1" applyAlignment="1">
      <alignment horizontal="right" wrapText="1" readingOrder="1"/>
    </xf>
    <xf numFmtId="3" fontId="365" fillId="366" borderId="365" xfId="0" applyNumberFormat="1" applyFont="1" applyFill="1" applyBorder="1" applyAlignment="1">
      <alignment horizontal="right" wrapText="1" readingOrder="1"/>
    </xf>
    <xf numFmtId="3" fontId="366" fillId="367" borderId="366" xfId="0" applyNumberFormat="1" applyFont="1" applyFill="1" applyBorder="1" applyAlignment="1">
      <alignment horizontal="right" wrapText="1" readingOrder="1"/>
    </xf>
    <xf numFmtId="3" fontId="367" fillId="368" borderId="367" xfId="0" applyNumberFormat="1" applyFont="1" applyFill="1" applyBorder="1" applyAlignment="1">
      <alignment horizontal="right" wrapText="1" readingOrder="1"/>
    </xf>
    <xf numFmtId="3" fontId="368" fillId="369" borderId="368" xfId="0" applyNumberFormat="1" applyFont="1" applyFill="1" applyBorder="1" applyAlignment="1">
      <alignment horizontal="right" wrapText="1" readingOrder="1"/>
    </xf>
    <xf numFmtId="3" fontId="369" fillId="370" borderId="369" xfId="0" applyNumberFormat="1" applyFont="1" applyFill="1" applyBorder="1" applyAlignment="1">
      <alignment horizontal="right" wrapText="1" readingOrder="1"/>
    </xf>
    <xf numFmtId="3" fontId="370" fillId="371" borderId="370" xfId="0" applyNumberFormat="1" applyFont="1" applyFill="1" applyBorder="1" applyAlignment="1">
      <alignment horizontal="right" wrapText="1" readingOrder="1"/>
    </xf>
    <xf numFmtId="3" fontId="371" fillId="372" borderId="371" xfId="0" applyNumberFormat="1" applyFont="1" applyFill="1" applyBorder="1" applyAlignment="1">
      <alignment horizontal="right" wrapText="1" readingOrder="1"/>
    </xf>
    <xf numFmtId="0" fontId="372" fillId="373" borderId="372" xfId="0" applyFont="1" applyFill="1" applyBorder="1" applyAlignment="1">
      <alignment horizontal="left" vertical="top" wrapText="1" readingOrder="1"/>
    </xf>
    <xf numFmtId="0" fontId="373" fillId="374" borderId="373" xfId="0" applyFont="1" applyFill="1" applyBorder="1" applyAlignment="1">
      <alignment horizontal="right" vertical="top" wrapText="1" readingOrder="1"/>
    </xf>
    <xf numFmtId="3" fontId="374" fillId="375" borderId="374" xfId="0" applyNumberFormat="1" applyFont="1" applyFill="1" applyBorder="1" applyAlignment="1">
      <alignment horizontal="right" wrapText="1" readingOrder="1"/>
    </xf>
    <xf numFmtId="3" fontId="375" fillId="376" borderId="375" xfId="0" applyNumberFormat="1" applyFont="1" applyFill="1" applyBorder="1" applyAlignment="1">
      <alignment horizontal="right" wrapText="1" readingOrder="1"/>
    </xf>
    <xf numFmtId="3" fontId="376" fillId="377" borderId="376" xfId="0" applyNumberFormat="1" applyFont="1" applyFill="1" applyBorder="1" applyAlignment="1">
      <alignment horizontal="right" wrapText="1" readingOrder="1"/>
    </xf>
    <xf numFmtId="3" fontId="377" fillId="378" borderId="377" xfId="0" applyNumberFormat="1" applyFont="1" applyFill="1" applyBorder="1" applyAlignment="1">
      <alignment horizontal="right" wrapText="1" readingOrder="1"/>
    </xf>
    <xf numFmtId="3" fontId="378" fillId="379" borderId="378" xfId="0" applyNumberFormat="1" applyFont="1" applyFill="1" applyBorder="1" applyAlignment="1">
      <alignment horizontal="right" wrapText="1" readingOrder="1"/>
    </xf>
    <xf numFmtId="3" fontId="379" fillId="380" borderId="379" xfId="0" applyNumberFormat="1" applyFont="1" applyFill="1" applyBorder="1" applyAlignment="1">
      <alignment horizontal="right" wrapText="1" readingOrder="1"/>
    </xf>
    <xf numFmtId="164" fontId="380" fillId="381" borderId="380" xfId="0" applyNumberFormat="1" applyFont="1" applyFill="1" applyBorder="1" applyAlignment="1">
      <alignment horizontal="right" wrapText="1" readingOrder="1"/>
    </xf>
    <xf numFmtId="3" fontId="381" fillId="382" borderId="381" xfId="0" applyNumberFormat="1" applyFont="1" applyFill="1" applyBorder="1" applyAlignment="1">
      <alignment horizontal="right" wrapText="1" readingOrder="1"/>
    </xf>
    <xf numFmtId="3" fontId="382" fillId="383" borderId="382" xfId="0" applyNumberFormat="1" applyFont="1" applyFill="1" applyBorder="1" applyAlignment="1">
      <alignment horizontal="right" wrapText="1" readingOrder="1"/>
    </xf>
    <xf numFmtId="3" fontId="383" fillId="384" borderId="383" xfId="0" applyNumberFormat="1" applyFont="1" applyFill="1" applyBorder="1" applyAlignment="1">
      <alignment horizontal="right" wrapText="1" readingOrder="1"/>
    </xf>
    <xf numFmtId="3" fontId="384" fillId="385" borderId="384" xfId="0" applyNumberFormat="1" applyFont="1" applyFill="1" applyBorder="1" applyAlignment="1">
      <alignment horizontal="right" wrapText="1" readingOrder="1"/>
    </xf>
    <xf numFmtId="3" fontId="385" fillId="386" borderId="385" xfId="0" applyNumberFormat="1" applyFont="1" applyFill="1" applyBorder="1" applyAlignment="1">
      <alignment horizontal="right" wrapText="1" readingOrder="1"/>
    </xf>
    <xf numFmtId="3" fontId="386" fillId="387" borderId="386" xfId="0" applyNumberFormat="1" applyFont="1" applyFill="1" applyBorder="1" applyAlignment="1">
      <alignment horizontal="right" wrapText="1" readingOrder="1"/>
    </xf>
    <xf numFmtId="3" fontId="387" fillId="388" borderId="387" xfId="0" applyNumberFormat="1" applyFont="1" applyFill="1" applyBorder="1" applyAlignment="1">
      <alignment horizontal="right" wrapText="1" readingOrder="1"/>
    </xf>
    <xf numFmtId="3" fontId="388" fillId="389" borderId="388" xfId="0" applyNumberFormat="1" applyFont="1" applyFill="1" applyBorder="1" applyAlignment="1">
      <alignment horizontal="right" wrapText="1" readingOrder="1"/>
    </xf>
    <xf numFmtId="3" fontId="389" fillId="390" borderId="389" xfId="0" applyNumberFormat="1" applyFont="1" applyFill="1" applyBorder="1" applyAlignment="1">
      <alignment horizontal="right" wrapText="1" readingOrder="1"/>
    </xf>
    <xf numFmtId="3" fontId="390" fillId="391" borderId="390" xfId="0" applyNumberFormat="1" applyFont="1" applyFill="1" applyBorder="1" applyAlignment="1">
      <alignment horizontal="right" wrapText="1" readingOrder="1"/>
    </xf>
    <xf numFmtId="3" fontId="391" fillId="392" borderId="391" xfId="0" applyNumberFormat="1" applyFont="1" applyFill="1" applyBorder="1" applyAlignment="1">
      <alignment horizontal="right" wrapText="1" readingOrder="1"/>
    </xf>
    <xf numFmtId="3" fontId="392" fillId="393" borderId="392" xfId="0" applyNumberFormat="1" applyFont="1" applyFill="1" applyBorder="1" applyAlignment="1">
      <alignment horizontal="right" wrapText="1" readingOrder="1"/>
    </xf>
    <xf numFmtId="3" fontId="393" fillId="394" borderId="393" xfId="0" applyNumberFormat="1" applyFont="1" applyFill="1" applyBorder="1" applyAlignment="1">
      <alignment horizontal="right" wrapText="1" readingOrder="1"/>
    </xf>
    <xf numFmtId="3" fontId="394" fillId="395" borderId="394" xfId="0" applyNumberFormat="1" applyFont="1" applyFill="1" applyBorder="1" applyAlignment="1">
      <alignment horizontal="right" wrapText="1" readingOrder="1"/>
    </xf>
    <xf numFmtId="0" fontId="395" fillId="396" borderId="395" xfId="0" applyFont="1" applyFill="1" applyBorder="1" applyAlignment="1">
      <alignment horizontal="left" vertical="top" wrapText="1" readingOrder="1"/>
    </xf>
    <xf numFmtId="0" fontId="396" fillId="397" borderId="396" xfId="0" applyFont="1" applyFill="1" applyBorder="1" applyAlignment="1">
      <alignment horizontal="right" vertical="top" wrapText="1" readingOrder="1"/>
    </xf>
    <xf numFmtId="3" fontId="397" fillId="398" borderId="397" xfId="0" applyNumberFormat="1" applyFont="1" applyFill="1" applyBorder="1" applyAlignment="1">
      <alignment horizontal="right" wrapText="1" readingOrder="1"/>
    </xf>
    <xf numFmtId="3" fontId="398" fillId="399" borderId="398" xfId="0" applyNumberFormat="1" applyFont="1" applyFill="1" applyBorder="1" applyAlignment="1">
      <alignment horizontal="right" wrapText="1" readingOrder="1"/>
    </xf>
    <xf numFmtId="3" fontId="399" fillId="400" borderId="399" xfId="0" applyNumberFormat="1" applyFont="1" applyFill="1" applyBorder="1" applyAlignment="1">
      <alignment horizontal="right" wrapText="1" readingOrder="1"/>
    </xf>
    <xf numFmtId="3" fontId="400" fillId="401" borderId="400" xfId="0" applyNumberFormat="1" applyFont="1" applyFill="1" applyBorder="1" applyAlignment="1">
      <alignment horizontal="right" wrapText="1" readingOrder="1"/>
    </xf>
    <xf numFmtId="3" fontId="401" fillId="402" borderId="401" xfId="0" applyNumberFormat="1" applyFont="1" applyFill="1" applyBorder="1" applyAlignment="1">
      <alignment horizontal="right" wrapText="1" readingOrder="1"/>
    </xf>
    <xf numFmtId="3" fontId="402" fillId="403" borderId="402" xfId="0" applyNumberFormat="1" applyFont="1" applyFill="1" applyBorder="1" applyAlignment="1">
      <alignment horizontal="right" wrapText="1" readingOrder="1"/>
    </xf>
    <xf numFmtId="164" fontId="403" fillId="404" borderId="403" xfId="0" applyNumberFormat="1" applyFont="1" applyFill="1" applyBorder="1" applyAlignment="1">
      <alignment horizontal="right" wrapText="1" readingOrder="1"/>
    </xf>
    <xf numFmtId="3" fontId="404" fillId="405" borderId="404" xfId="0" applyNumberFormat="1" applyFont="1" applyFill="1" applyBorder="1" applyAlignment="1">
      <alignment horizontal="right" wrapText="1" readingOrder="1"/>
    </xf>
    <xf numFmtId="3" fontId="405" fillId="406" borderId="405" xfId="0" applyNumberFormat="1" applyFont="1" applyFill="1" applyBorder="1" applyAlignment="1">
      <alignment horizontal="right" wrapText="1" readingOrder="1"/>
    </xf>
    <xf numFmtId="3" fontId="406" fillId="407" borderId="406" xfId="0" applyNumberFormat="1" applyFont="1" applyFill="1" applyBorder="1" applyAlignment="1">
      <alignment horizontal="right" wrapText="1" readingOrder="1"/>
    </xf>
    <xf numFmtId="3" fontId="407" fillId="408" borderId="407" xfId="0" applyNumberFormat="1" applyFont="1" applyFill="1" applyBorder="1" applyAlignment="1">
      <alignment horizontal="right" wrapText="1" readingOrder="1"/>
    </xf>
    <xf numFmtId="3" fontId="408" fillId="409" borderId="408" xfId="0" applyNumberFormat="1" applyFont="1" applyFill="1" applyBorder="1" applyAlignment="1">
      <alignment horizontal="right" wrapText="1" readingOrder="1"/>
    </xf>
    <xf numFmtId="3" fontId="409" fillId="410" borderId="409" xfId="0" applyNumberFormat="1" applyFont="1" applyFill="1" applyBorder="1" applyAlignment="1">
      <alignment horizontal="right" wrapText="1" readingOrder="1"/>
    </xf>
    <xf numFmtId="3" fontId="410" fillId="411" borderId="410" xfId="0" applyNumberFormat="1" applyFont="1" applyFill="1" applyBorder="1" applyAlignment="1">
      <alignment horizontal="right" wrapText="1" readingOrder="1"/>
    </xf>
    <xf numFmtId="3" fontId="411" fillId="412" borderId="411" xfId="0" applyNumberFormat="1" applyFont="1" applyFill="1" applyBorder="1" applyAlignment="1">
      <alignment horizontal="right" wrapText="1" readingOrder="1"/>
    </xf>
    <xf numFmtId="3" fontId="412" fillId="413" borderId="412" xfId="0" applyNumberFormat="1" applyFont="1" applyFill="1" applyBorder="1" applyAlignment="1">
      <alignment horizontal="right" wrapText="1" readingOrder="1"/>
    </xf>
    <xf numFmtId="3" fontId="413" fillId="414" borderId="413" xfId="0" applyNumberFormat="1" applyFont="1" applyFill="1" applyBorder="1" applyAlignment="1">
      <alignment horizontal="right" wrapText="1" readingOrder="1"/>
    </xf>
    <xf numFmtId="3" fontId="414" fillId="415" borderId="414" xfId="0" applyNumberFormat="1" applyFont="1" applyFill="1" applyBorder="1" applyAlignment="1">
      <alignment horizontal="right" wrapText="1" readingOrder="1"/>
    </xf>
    <xf numFmtId="3" fontId="415" fillId="416" borderId="415" xfId="0" applyNumberFormat="1" applyFont="1" applyFill="1" applyBorder="1" applyAlignment="1">
      <alignment horizontal="right" wrapText="1" readingOrder="1"/>
    </xf>
    <xf numFmtId="3" fontId="416" fillId="417" borderId="416" xfId="0" applyNumberFormat="1" applyFont="1" applyFill="1" applyBorder="1" applyAlignment="1">
      <alignment horizontal="right" wrapText="1" readingOrder="1"/>
    </xf>
    <xf numFmtId="3" fontId="417" fillId="418" borderId="417" xfId="0" applyNumberFormat="1" applyFont="1" applyFill="1" applyBorder="1" applyAlignment="1">
      <alignment horizontal="right" wrapText="1" readingOrder="1"/>
    </xf>
    <xf numFmtId="0" fontId="418" fillId="419" borderId="418" xfId="0" applyFont="1" applyFill="1" applyBorder="1" applyAlignment="1">
      <alignment horizontal="left" vertical="top" wrapText="1" readingOrder="1"/>
    </xf>
    <xf numFmtId="0" fontId="419" fillId="420" borderId="419" xfId="0" applyFont="1" applyFill="1" applyBorder="1" applyAlignment="1">
      <alignment horizontal="right" vertical="top" wrapText="1" readingOrder="1"/>
    </xf>
    <xf numFmtId="3" fontId="420" fillId="421" borderId="420" xfId="0" applyNumberFormat="1" applyFont="1" applyFill="1" applyBorder="1" applyAlignment="1">
      <alignment horizontal="right" wrapText="1" readingOrder="1"/>
    </xf>
    <xf numFmtId="3" fontId="421" fillId="422" borderId="421" xfId="0" applyNumberFormat="1" applyFont="1" applyFill="1" applyBorder="1" applyAlignment="1">
      <alignment horizontal="right" wrapText="1" readingOrder="1"/>
    </xf>
    <xf numFmtId="3" fontId="422" fillId="423" borderId="422" xfId="0" applyNumberFormat="1" applyFont="1" applyFill="1" applyBorder="1" applyAlignment="1">
      <alignment horizontal="right" wrapText="1" readingOrder="1"/>
    </xf>
    <xf numFmtId="3" fontId="423" fillId="424" borderId="423" xfId="0" applyNumberFormat="1" applyFont="1" applyFill="1" applyBorder="1" applyAlignment="1">
      <alignment horizontal="right" wrapText="1" readingOrder="1"/>
    </xf>
    <xf numFmtId="3" fontId="424" fillId="425" borderId="424" xfId="0" applyNumberFormat="1" applyFont="1" applyFill="1" applyBorder="1" applyAlignment="1">
      <alignment horizontal="right" wrapText="1" readingOrder="1"/>
    </xf>
    <xf numFmtId="3" fontId="425" fillId="426" borderId="425" xfId="0" applyNumberFormat="1" applyFont="1" applyFill="1" applyBorder="1" applyAlignment="1">
      <alignment horizontal="right" wrapText="1" readingOrder="1"/>
    </xf>
    <xf numFmtId="164" fontId="426" fillId="427" borderId="426" xfId="0" applyNumberFormat="1" applyFont="1" applyFill="1" applyBorder="1" applyAlignment="1">
      <alignment horizontal="right" wrapText="1" readingOrder="1"/>
    </xf>
    <xf numFmtId="3" fontId="427" fillId="428" borderId="427" xfId="0" applyNumberFormat="1" applyFont="1" applyFill="1" applyBorder="1" applyAlignment="1">
      <alignment horizontal="right" wrapText="1" readingOrder="1"/>
    </xf>
    <xf numFmtId="3" fontId="428" fillId="429" borderId="428" xfId="0" applyNumberFormat="1" applyFont="1" applyFill="1" applyBorder="1" applyAlignment="1">
      <alignment horizontal="right" wrapText="1" readingOrder="1"/>
    </xf>
    <xf numFmtId="3" fontId="429" fillId="430" borderId="429" xfId="0" applyNumberFormat="1" applyFont="1" applyFill="1" applyBorder="1" applyAlignment="1">
      <alignment horizontal="right" wrapText="1" readingOrder="1"/>
    </xf>
    <xf numFmtId="3" fontId="430" fillId="431" borderId="430" xfId="0" applyNumberFormat="1" applyFont="1" applyFill="1" applyBorder="1" applyAlignment="1">
      <alignment horizontal="right" wrapText="1" readingOrder="1"/>
    </xf>
    <xf numFmtId="3" fontId="431" fillId="432" borderId="431" xfId="0" applyNumberFormat="1" applyFont="1" applyFill="1" applyBorder="1" applyAlignment="1">
      <alignment horizontal="right" wrapText="1" readingOrder="1"/>
    </xf>
    <xf numFmtId="3" fontId="432" fillId="433" borderId="432" xfId="0" applyNumberFormat="1" applyFont="1" applyFill="1" applyBorder="1" applyAlignment="1">
      <alignment horizontal="right" wrapText="1" readingOrder="1"/>
    </xf>
    <xf numFmtId="3" fontId="433" fillId="434" borderId="433" xfId="0" applyNumberFormat="1" applyFont="1" applyFill="1" applyBorder="1" applyAlignment="1">
      <alignment horizontal="right" wrapText="1" readingOrder="1"/>
    </xf>
    <xf numFmtId="3" fontId="434" fillId="435" borderId="434" xfId="0" applyNumberFormat="1" applyFont="1" applyFill="1" applyBorder="1" applyAlignment="1">
      <alignment horizontal="right" wrapText="1" readingOrder="1"/>
    </xf>
    <xf numFmtId="3" fontId="435" fillId="436" borderId="435" xfId="0" applyNumberFormat="1" applyFont="1" applyFill="1" applyBorder="1" applyAlignment="1">
      <alignment horizontal="right" wrapText="1" readingOrder="1"/>
    </xf>
    <xf numFmtId="3" fontId="436" fillId="437" borderId="436" xfId="0" applyNumberFormat="1" applyFont="1" applyFill="1" applyBorder="1" applyAlignment="1">
      <alignment horizontal="right" wrapText="1" readingOrder="1"/>
    </xf>
    <xf numFmtId="3" fontId="437" fillId="438" borderId="437" xfId="0" applyNumberFormat="1" applyFont="1" applyFill="1" applyBorder="1" applyAlignment="1">
      <alignment horizontal="right" wrapText="1" readingOrder="1"/>
    </xf>
    <xf numFmtId="3" fontId="438" fillId="439" borderId="438" xfId="0" applyNumberFormat="1" applyFont="1" applyFill="1" applyBorder="1" applyAlignment="1">
      <alignment horizontal="right" wrapText="1" readingOrder="1"/>
    </xf>
    <xf numFmtId="3" fontId="439" fillId="440" borderId="439" xfId="0" applyNumberFormat="1" applyFont="1" applyFill="1" applyBorder="1" applyAlignment="1">
      <alignment horizontal="right" wrapText="1" readingOrder="1"/>
    </xf>
    <xf numFmtId="3" fontId="440" fillId="441" borderId="440" xfId="0" applyNumberFormat="1" applyFont="1" applyFill="1" applyBorder="1" applyAlignment="1">
      <alignment horizontal="right" wrapText="1" readingOrder="1"/>
    </xf>
    <xf numFmtId="0" fontId="441" fillId="442" borderId="441" xfId="0" applyFont="1" applyFill="1" applyBorder="1" applyAlignment="1">
      <alignment horizontal="left" vertical="top" wrapText="1" readingOrder="1"/>
    </xf>
    <xf numFmtId="0" fontId="442" fillId="443" borderId="442" xfId="0" applyFont="1" applyFill="1" applyBorder="1" applyAlignment="1">
      <alignment horizontal="right" vertical="top" wrapText="1" readingOrder="1"/>
    </xf>
    <xf numFmtId="3" fontId="443" fillId="444" borderId="443" xfId="0" applyNumberFormat="1" applyFont="1" applyFill="1" applyBorder="1" applyAlignment="1">
      <alignment horizontal="right" wrapText="1" readingOrder="1"/>
    </xf>
    <xf numFmtId="3" fontId="444" fillId="445" borderId="444" xfId="0" applyNumberFormat="1" applyFont="1" applyFill="1" applyBorder="1" applyAlignment="1">
      <alignment horizontal="right" wrapText="1" readingOrder="1"/>
    </xf>
    <xf numFmtId="3" fontId="445" fillId="446" borderId="445" xfId="0" applyNumberFormat="1" applyFont="1" applyFill="1" applyBorder="1" applyAlignment="1">
      <alignment horizontal="right" wrapText="1" readingOrder="1"/>
    </xf>
    <xf numFmtId="3" fontId="446" fillId="447" borderId="446" xfId="0" applyNumberFormat="1" applyFont="1" applyFill="1" applyBorder="1" applyAlignment="1">
      <alignment horizontal="right" wrapText="1" readingOrder="1"/>
    </xf>
    <xf numFmtId="3" fontId="447" fillId="448" borderId="447" xfId="0" applyNumberFormat="1" applyFont="1" applyFill="1" applyBorder="1" applyAlignment="1">
      <alignment horizontal="right" wrapText="1" readingOrder="1"/>
    </xf>
    <xf numFmtId="3" fontId="448" fillId="449" borderId="448" xfId="0" applyNumberFormat="1" applyFont="1" applyFill="1" applyBorder="1" applyAlignment="1">
      <alignment horizontal="right" wrapText="1" readingOrder="1"/>
    </xf>
    <xf numFmtId="164" fontId="449" fillId="450" borderId="449" xfId="0" applyNumberFormat="1" applyFont="1" applyFill="1" applyBorder="1" applyAlignment="1">
      <alignment horizontal="right" wrapText="1" readingOrder="1"/>
    </xf>
    <xf numFmtId="3" fontId="450" fillId="451" borderId="450" xfId="0" applyNumberFormat="1" applyFont="1" applyFill="1" applyBorder="1" applyAlignment="1">
      <alignment horizontal="right" wrapText="1" readingOrder="1"/>
    </xf>
    <xf numFmtId="3" fontId="451" fillId="452" borderId="451" xfId="0" applyNumberFormat="1" applyFont="1" applyFill="1" applyBorder="1" applyAlignment="1">
      <alignment horizontal="right" wrapText="1" readingOrder="1"/>
    </xf>
    <xf numFmtId="3" fontId="452" fillId="453" borderId="452" xfId="0" applyNumberFormat="1" applyFont="1" applyFill="1" applyBorder="1" applyAlignment="1">
      <alignment horizontal="right" wrapText="1" readingOrder="1"/>
    </xf>
    <xf numFmtId="3" fontId="453" fillId="454" borderId="453" xfId="0" applyNumberFormat="1" applyFont="1" applyFill="1" applyBorder="1" applyAlignment="1">
      <alignment horizontal="right" wrapText="1" readingOrder="1"/>
    </xf>
    <xf numFmtId="3" fontId="454" fillId="455" borderId="454" xfId="0" applyNumberFormat="1" applyFont="1" applyFill="1" applyBorder="1" applyAlignment="1">
      <alignment horizontal="right" wrapText="1" readingOrder="1"/>
    </xf>
    <xf numFmtId="3" fontId="455" fillId="456" borderId="455" xfId="0" applyNumberFormat="1" applyFont="1" applyFill="1" applyBorder="1" applyAlignment="1">
      <alignment horizontal="right" wrapText="1" readingOrder="1"/>
    </xf>
    <xf numFmtId="3" fontId="456" fillId="457" borderId="456" xfId="0" applyNumberFormat="1" applyFont="1" applyFill="1" applyBorder="1" applyAlignment="1">
      <alignment horizontal="right" wrapText="1" readingOrder="1"/>
    </xf>
    <xf numFmtId="3" fontId="457" fillId="458" borderId="457" xfId="0" applyNumberFormat="1" applyFont="1" applyFill="1" applyBorder="1" applyAlignment="1">
      <alignment horizontal="right" wrapText="1" readingOrder="1"/>
    </xf>
    <xf numFmtId="3" fontId="458" fillId="459" borderId="458" xfId="0" applyNumberFormat="1" applyFont="1" applyFill="1" applyBorder="1" applyAlignment="1">
      <alignment horizontal="right" wrapText="1" readingOrder="1"/>
    </xf>
    <xf numFmtId="3" fontId="459" fillId="460" borderId="459" xfId="0" applyNumberFormat="1" applyFont="1" applyFill="1" applyBorder="1" applyAlignment="1">
      <alignment horizontal="right" wrapText="1" readingOrder="1"/>
    </xf>
    <xf numFmtId="3" fontId="460" fillId="461" borderId="460" xfId="0" applyNumberFormat="1" applyFont="1" applyFill="1" applyBorder="1" applyAlignment="1">
      <alignment horizontal="right" wrapText="1" readingOrder="1"/>
    </xf>
    <xf numFmtId="3" fontId="461" fillId="462" borderId="461" xfId="0" applyNumberFormat="1" applyFont="1" applyFill="1" applyBorder="1" applyAlignment="1">
      <alignment horizontal="right" wrapText="1" readingOrder="1"/>
    </xf>
    <xf numFmtId="3" fontId="462" fillId="463" borderId="462" xfId="0" applyNumberFormat="1" applyFont="1" applyFill="1" applyBorder="1" applyAlignment="1">
      <alignment horizontal="right" wrapText="1" readingOrder="1"/>
    </xf>
    <xf numFmtId="3" fontId="463" fillId="464" borderId="463" xfId="0" applyNumberFormat="1" applyFont="1" applyFill="1" applyBorder="1" applyAlignment="1">
      <alignment horizontal="right" wrapText="1" readingOrder="1"/>
    </xf>
    <xf numFmtId="0" fontId="464" fillId="465" borderId="464" xfId="0" applyFont="1" applyFill="1" applyBorder="1" applyAlignment="1">
      <alignment horizontal="left" vertical="top" wrapText="1" readingOrder="1"/>
    </xf>
    <xf numFmtId="0" fontId="465" fillId="466" borderId="465" xfId="0" applyFont="1" applyFill="1" applyBorder="1" applyAlignment="1">
      <alignment horizontal="right" vertical="top" wrapText="1" readingOrder="1"/>
    </xf>
    <xf numFmtId="3" fontId="466" fillId="467" borderId="466" xfId="0" applyNumberFormat="1" applyFont="1" applyFill="1" applyBorder="1" applyAlignment="1">
      <alignment horizontal="right" wrapText="1" readingOrder="1"/>
    </xf>
    <xf numFmtId="3" fontId="467" fillId="468" borderId="467" xfId="0" applyNumberFormat="1" applyFont="1" applyFill="1" applyBorder="1" applyAlignment="1">
      <alignment horizontal="right" wrapText="1" readingOrder="1"/>
    </xf>
    <xf numFmtId="3" fontId="468" fillId="469" borderId="468" xfId="0" applyNumberFormat="1" applyFont="1" applyFill="1" applyBorder="1" applyAlignment="1">
      <alignment horizontal="right" wrapText="1" readingOrder="1"/>
    </xf>
    <xf numFmtId="3" fontId="469" fillId="470" borderId="469" xfId="0" applyNumberFormat="1" applyFont="1" applyFill="1" applyBorder="1" applyAlignment="1">
      <alignment horizontal="right" wrapText="1" readingOrder="1"/>
    </xf>
    <xf numFmtId="3" fontId="470" fillId="471" borderId="470" xfId="0" applyNumberFormat="1" applyFont="1" applyFill="1" applyBorder="1" applyAlignment="1">
      <alignment horizontal="right" wrapText="1" readingOrder="1"/>
    </xf>
    <xf numFmtId="3" fontId="471" fillId="472" borderId="471" xfId="0" applyNumberFormat="1" applyFont="1" applyFill="1" applyBorder="1" applyAlignment="1">
      <alignment horizontal="right" wrapText="1" readingOrder="1"/>
    </xf>
    <xf numFmtId="164" fontId="472" fillId="473" borderId="472" xfId="0" applyNumberFormat="1" applyFont="1" applyFill="1" applyBorder="1" applyAlignment="1">
      <alignment horizontal="right" wrapText="1" readingOrder="1"/>
    </xf>
    <xf numFmtId="3" fontId="473" fillId="474" borderId="473" xfId="0" applyNumberFormat="1" applyFont="1" applyFill="1" applyBorder="1" applyAlignment="1">
      <alignment horizontal="right" wrapText="1" readingOrder="1"/>
    </xf>
    <xf numFmtId="3" fontId="474" fillId="475" borderId="474" xfId="0" applyNumberFormat="1" applyFont="1" applyFill="1" applyBorder="1" applyAlignment="1">
      <alignment horizontal="right" wrapText="1" readingOrder="1"/>
    </xf>
    <xf numFmtId="3" fontId="475" fillId="476" borderId="475" xfId="0" applyNumberFormat="1" applyFont="1" applyFill="1" applyBorder="1" applyAlignment="1">
      <alignment horizontal="right" wrapText="1" readingOrder="1"/>
    </xf>
    <xf numFmtId="3" fontId="476" fillId="477" borderId="476" xfId="0" applyNumberFormat="1" applyFont="1" applyFill="1" applyBorder="1" applyAlignment="1">
      <alignment horizontal="right" wrapText="1" readingOrder="1"/>
    </xf>
    <xf numFmtId="3" fontId="477" fillId="478" borderId="477" xfId="0" applyNumberFormat="1" applyFont="1" applyFill="1" applyBorder="1" applyAlignment="1">
      <alignment horizontal="right" wrapText="1" readingOrder="1"/>
    </xf>
    <xf numFmtId="3" fontId="478" fillId="479" borderId="478" xfId="0" applyNumberFormat="1" applyFont="1" applyFill="1" applyBorder="1" applyAlignment="1">
      <alignment horizontal="right" wrapText="1" readingOrder="1"/>
    </xf>
    <xf numFmtId="3" fontId="479" fillId="480" borderId="479" xfId="0" applyNumberFormat="1" applyFont="1" applyFill="1" applyBorder="1" applyAlignment="1">
      <alignment horizontal="right" wrapText="1" readingOrder="1"/>
    </xf>
    <xf numFmtId="3" fontId="480" fillId="481" borderId="480" xfId="0" applyNumberFormat="1" applyFont="1" applyFill="1" applyBorder="1" applyAlignment="1">
      <alignment horizontal="right" wrapText="1" readingOrder="1"/>
    </xf>
    <xf numFmtId="3" fontId="481" fillId="482" borderId="481" xfId="0" applyNumberFormat="1" applyFont="1" applyFill="1" applyBorder="1" applyAlignment="1">
      <alignment horizontal="right" wrapText="1" readingOrder="1"/>
    </xf>
    <xf numFmtId="3" fontId="482" fillId="483" borderId="482" xfId="0" applyNumberFormat="1" applyFont="1" applyFill="1" applyBorder="1" applyAlignment="1">
      <alignment horizontal="right" wrapText="1" readingOrder="1"/>
    </xf>
    <xf numFmtId="3" fontId="483" fillId="484" borderId="483" xfId="0" applyNumberFormat="1" applyFont="1" applyFill="1" applyBorder="1" applyAlignment="1">
      <alignment horizontal="right" wrapText="1" readingOrder="1"/>
    </xf>
    <xf numFmtId="3" fontId="484" fillId="485" borderId="484" xfId="0" applyNumberFormat="1" applyFont="1" applyFill="1" applyBorder="1" applyAlignment="1">
      <alignment horizontal="right" wrapText="1" readingOrder="1"/>
    </xf>
    <xf numFmtId="3" fontId="485" fillId="486" borderId="485" xfId="0" applyNumberFormat="1" applyFont="1" applyFill="1" applyBorder="1" applyAlignment="1">
      <alignment horizontal="right" wrapText="1" readingOrder="1"/>
    </xf>
    <xf numFmtId="3" fontId="486" fillId="487" borderId="486" xfId="0" applyNumberFormat="1" applyFont="1" applyFill="1" applyBorder="1" applyAlignment="1">
      <alignment horizontal="right" wrapText="1" readingOrder="1"/>
    </xf>
    <xf numFmtId="0" fontId="487" fillId="488" borderId="487" xfId="0" applyFont="1" applyFill="1" applyBorder="1" applyAlignment="1">
      <alignment horizontal="left" vertical="top" wrapText="1" readingOrder="1"/>
    </xf>
    <xf numFmtId="0" fontId="488" fillId="489" borderId="488" xfId="0" applyFont="1" applyFill="1" applyBorder="1" applyAlignment="1">
      <alignment horizontal="right" vertical="top" wrapText="1" readingOrder="1"/>
    </xf>
    <xf numFmtId="3" fontId="489" fillId="490" borderId="489" xfId="0" applyNumberFormat="1" applyFont="1" applyFill="1" applyBorder="1" applyAlignment="1">
      <alignment horizontal="right" wrapText="1" readingOrder="1"/>
    </xf>
    <xf numFmtId="3" fontId="490" fillId="491" borderId="490" xfId="0" applyNumberFormat="1" applyFont="1" applyFill="1" applyBorder="1" applyAlignment="1">
      <alignment horizontal="right" wrapText="1" readingOrder="1"/>
    </xf>
    <xf numFmtId="3" fontId="491" fillId="492" borderId="491" xfId="0" applyNumberFormat="1" applyFont="1" applyFill="1" applyBorder="1" applyAlignment="1">
      <alignment horizontal="right" wrapText="1" readingOrder="1"/>
    </xf>
    <xf numFmtId="3" fontId="492" fillId="493" borderId="492" xfId="0" applyNumberFormat="1" applyFont="1" applyFill="1" applyBorder="1" applyAlignment="1">
      <alignment horizontal="right" wrapText="1" readingOrder="1"/>
    </xf>
    <xf numFmtId="3" fontId="493" fillId="494" borderId="493" xfId="0" applyNumberFormat="1" applyFont="1" applyFill="1" applyBorder="1" applyAlignment="1">
      <alignment horizontal="right" wrapText="1" readingOrder="1"/>
    </xf>
    <xf numFmtId="3" fontId="494" fillId="495" borderId="494" xfId="0" applyNumberFormat="1" applyFont="1" applyFill="1" applyBorder="1" applyAlignment="1">
      <alignment horizontal="right" wrapText="1" readingOrder="1"/>
    </xf>
    <xf numFmtId="164" fontId="495" fillId="496" borderId="495" xfId="0" applyNumberFormat="1" applyFont="1" applyFill="1" applyBorder="1" applyAlignment="1">
      <alignment horizontal="right" wrapText="1" readingOrder="1"/>
    </xf>
    <xf numFmtId="3" fontId="496" fillId="497" borderId="496" xfId="0" applyNumberFormat="1" applyFont="1" applyFill="1" applyBorder="1" applyAlignment="1">
      <alignment horizontal="right" wrapText="1" readingOrder="1"/>
    </xf>
    <xf numFmtId="3" fontId="497" fillId="498" borderId="497" xfId="0" applyNumberFormat="1" applyFont="1" applyFill="1" applyBorder="1" applyAlignment="1">
      <alignment horizontal="right" wrapText="1" readingOrder="1"/>
    </xf>
    <xf numFmtId="3" fontId="498" fillId="499" borderId="498" xfId="0" applyNumberFormat="1" applyFont="1" applyFill="1" applyBorder="1" applyAlignment="1">
      <alignment horizontal="right" wrapText="1" readingOrder="1"/>
    </xf>
    <xf numFmtId="3" fontId="499" fillId="500" borderId="499" xfId="0" applyNumberFormat="1" applyFont="1" applyFill="1" applyBorder="1" applyAlignment="1">
      <alignment horizontal="right" wrapText="1" readingOrder="1"/>
    </xf>
    <xf numFmtId="3" fontId="500" fillId="501" borderId="500" xfId="0" applyNumberFormat="1" applyFont="1" applyFill="1" applyBorder="1" applyAlignment="1">
      <alignment horizontal="right" wrapText="1" readingOrder="1"/>
    </xf>
    <xf numFmtId="3" fontId="501" fillId="502" borderId="501" xfId="0" applyNumberFormat="1" applyFont="1" applyFill="1" applyBorder="1" applyAlignment="1">
      <alignment horizontal="right" wrapText="1" readingOrder="1"/>
    </xf>
    <xf numFmtId="3" fontId="502" fillId="503" borderId="502" xfId="0" applyNumberFormat="1" applyFont="1" applyFill="1" applyBorder="1" applyAlignment="1">
      <alignment horizontal="right" wrapText="1" readingOrder="1"/>
    </xf>
    <xf numFmtId="3" fontId="503" fillId="504" borderId="503" xfId="0" applyNumberFormat="1" applyFont="1" applyFill="1" applyBorder="1" applyAlignment="1">
      <alignment horizontal="right" wrapText="1" readingOrder="1"/>
    </xf>
    <xf numFmtId="3" fontId="504" fillId="505" borderId="504" xfId="0" applyNumberFormat="1" applyFont="1" applyFill="1" applyBorder="1" applyAlignment="1">
      <alignment horizontal="right" wrapText="1" readingOrder="1"/>
    </xf>
    <xf numFmtId="3" fontId="505" fillId="506" borderId="505" xfId="0" applyNumberFormat="1" applyFont="1" applyFill="1" applyBorder="1" applyAlignment="1">
      <alignment horizontal="right" wrapText="1" readingOrder="1"/>
    </xf>
    <xf numFmtId="3" fontId="506" fillId="507" borderId="506" xfId="0" applyNumberFormat="1" applyFont="1" applyFill="1" applyBorder="1" applyAlignment="1">
      <alignment horizontal="right" wrapText="1" readingOrder="1"/>
    </xf>
    <xf numFmtId="3" fontId="507" fillId="508" borderId="507" xfId="0" applyNumberFormat="1" applyFont="1" applyFill="1" applyBorder="1" applyAlignment="1">
      <alignment horizontal="right" wrapText="1" readingOrder="1"/>
    </xf>
    <xf numFmtId="3" fontId="508" fillId="509" borderId="508" xfId="0" applyNumberFormat="1" applyFont="1" applyFill="1" applyBorder="1" applyAlignment="1">
      <alignment horizontal="right" wrapText="1" readingOrder="1"/>
    </xf>
    <xf numFmtId="3" fontId="509" fillId="510" borderId="509" xfId="0" applyNumberFormat="1" applyFont="1" applyFill="1" applyBorder="1" applyAlignment="1">
      <alignment horizontal="right" wrapText="1" readingOrder="1"/>
    </xf>
    <xf numFmtId="0" fontId="510" fillId="511" borderId="510" xfId="0" applyFont="1" applyFill="1" applyBorder="1" applyAlignment="1">
      <alignment horizontal="left" vertical="top" wrapText="1" readingOrder="1"/>
    </xf>
    <xf numFmtId="0" fontId="511" fillId="512" borderId="511" xfId="0" applyFont="1" applyFill="1" applyBorder="1" applyAlignment="1">
      <alignment horizontal="right" vertical="top" wrapText="1" readingOrder="1"/>
    </xf>
    <xf numFmtId="3" fontId="512" fillId="513" borderId="512" xfId="0" applyNumberFormat="1" applyFont="1" applyFill="1" applyBorder="1" applyAlignment="1">
      <alignment horizontal="right" wrapText="1" readingOrder="1"/>
    </xf>
    <xf numFmtId="3" fontId="513" fillId="514" borderId="513" xfId="0" applyNumberFormat="1" applyFont="1" applyFill="1" applyBorder="1" applyAlignment="1">
      <alignment horizontal="right" wrapText="1" readingOrder="1"/>
    </xf>
    <xf numFmtId="3" fontId="514" fillId="515" borderId="514" xfId="0" applyNumberFormat="1" applyFont="1" applyFill="1" applyBorder="1" applyAlignment="1">
      <alignment horizontal="right" wrapText="1" readingOrder="1"/>
    </xf>
    <xf numFmtId="3" fontId="515" fillId="516" borderId="515" xfId="0" applyNumberFormat="1" applyFont="1" applyFill="1" applyBorder="1" applyAlignment="1">
      <alignment horizontal="right" wrapText="1" readingOrder="1"/>
    </xf>
    <xf numFmtId="3" fontId="516" fillId="517" borderId="516" xfId="0" applyNumberFormat="1" applyFont="1" applyFill="1" applyBorder="1" applyAlignment="1">
      <alignment horizontal="right" wrapText="1" readingOrder="1"/>
    </xf>
    <xf numFmtId="3" fontId="517" fillId="518" borderId="517" xfId="0" applyNumberFormat="1" applyFont="1" applyFill="1" applyBorder="1" applyAlignment="1">
      <alignment horizontal="right" wrapText="1" readingOrder="1"/>
    </xf>
    <xf numFmtId="164" fontId="518" fillId="519" borderId="518" xfId="0" applyNumberFormat="1" applyFont="1" applyFill="1" applyBorder="1" applyAlignment="1">
      <alignment horizontal="right" wrapText="1" readingOrder="1"/>
    </xf>
    <xf numFmtId="3" fontId="519" fillId="520" borderId="519" xfId="0" applyNumberFormat="1" applyFont="1" applyFill="1" applyBorder="1" applyAlignment="1">
      <alignment horizontal="right" wrapText="1" readingOrder="1"/>
    </xf>
    <xf numFmtId="3" fontId="520" fillId="521" borderId="520" xfId="0" applyNumberFormat="1" applyFont="1" applyFill="1" applyBorder="1" applyAlignment="1">
      <alignment horizontal="right" wrapText="1" readingOrder="1"/>
    </xf>
    <xf numFmtId="3" fontId="521" fillId="522" borderId="521" xfId="0" applyNumberFormat="1" applyFont="1" applyFill="1" applyBorder="1" applyAlignment="1">
      <alignment horizontal="right" wrapText="1" readingOrder="1"/>
    </xf>
    <xf numFmtId="3" fontId="522" fillId="523" borderId="522" xfId="0" applyNumberFormat="1" applyFont="1" applyFill="1" applyBorder="1" applyAlignment="1">
      <alignment horizontal="right" wrapText="1" readingOrder="1"/>
    </xf>
    <xf numFmtId="3" fontId="523" fillId="524" borderId="523" xfId="0" applyNumberFormat="1" applyFont="1" applyFill="1" applyBorder="1" applyAlignment="1">
      <alignment horizontal="right" wrapText="1" readingOrder="1"/>
    </xf>
    <xf numFmtId="3" fontId="524" fillId="525" borderId="524" xfId="0" applyNumberFormat="1" applyFont="1" applyFill="1" applyBorder="1" applyAlignment="1">
      <alignment horizontal="right" wrapText="1" readingOrder="1"/>
    </xf>
    <xf numFmtId="3" fontId="525" fillId="526" borderId="525" xfId="0" applyNumberFormat="1" applyFont="1" applyFill="1" applyBorder="1" applyAlignment="1">
      <alignment horizontal="right" wrapText="1" readingOrder="1"/>
    </xf>
    <xf numFmtId="3" fontId="526" fillId="527" borderId="526" xfId="0" applyNumberFormat="1" applyFont="1" applyFill="1" applyBorder="1" applyAlignment="1">
      <alignment horizontal="right" wrapText="1" readingOrder="1"/>
    </xf>
    <xf numFmtId="3" fontId="527" fillId="528" borderId="527" xfId="0" applyNumberFormat="1" applyFont="1" applyFill="1" applyBorder="1" applyAlignment="1">
      <alignment horizontal="right" wrapText="1" readingOrder="1"/>
    </xf>
    <xf numFmtId="3" fontId="528" fillId="529" borderId="528" xfId="0" applyNumberFormat="1" applyFont="1" applyFill="1" applyBorder="1" applyAlignment="1">
      <alignment horizontal="right" wrapText="1" readingOrder="1"/>
    </xf>
    <xf numFmtId="3" fontId="529" fillId="530" borderId="529" xfId="0" applyNumberFormat="1" applyFont="1" applyFill="1" applyBorder="1" applyAlignment="1">
      <alignment horizontal="right" wrapText="1" readingOrder="1"/>
    </xf>
    <xf numFmtId="3" fontId="530" fillId="531" borderId="530" xfId="0" applyNumberFormat="1" applyFont="1" applyFill="1" applyBorder="1" applyAlignment="1">
      <alignment horizontal="right" wrapText="1" readingOrder="1"/>
    </xf>
    <xf numFmtId="3" fontId="531" fillId="532" borderId="531" xfId="0" applyNumberFormat="1" applyFont="1" applyFill="1" applyBorder="1" applyAlignment="1">
      <alignment horizontal="right" wrapText="1" readingOrder="1"/>
    </xf>
    <xf numFmtId="3" fontId="532" fillId="533" borderId="532" xfId="0" applyNumberFormat="1" applyFont="1" applyFill="1" applyBorder="1" applyAlignment="1">
      <alignment horizontal="right" wrapText="1" readingOrder="1"/>
    </xf>
    <xf numFmtId="0" fontId="533" fillId="534" borderId="533" xfId="0" applyFont="1" applyFill="1" applyBorder="1" applyAlignment="1">
      <alignment readingOrder="1"/>
    </xf>
    <xf numFmtId="0" fontId="534" fillId="535" borderId="534" xfId="0" applyFont="1" applyFill="1" applyBorder="1"/>
    <xf numFmtId="0" fontId="535" fillId="536" borderId="535" xfId="0" applyFont="1" applyFill="1" applyBorder="1" applyAlignment="1">
      <alignment horizontal="left" vertical="top" wrapText="1"/>
    </xf>
    <xf numFmtId="0" fontId="536" fillId="537" borderId="536" xfId="0" applyFont="1" applyFill="1" applyBorder="1" applyAlignment="1">
      <alignment horizontal="left" vertical="top" wrapText="1"/>
    </xf>
    <xf numFmtId="0" fontId="2" fillId="4" borderId="536" xfId="0" applyFont="1" applyFill="1" applyBorder="1" applyAlignment="1">
      <alignment horizontal="left" readingOrder="1"/>
    </xf>
    <xf numFmtId="0" fontId="533" fillId="534" borderId="536" xfId="0" applyFont="1" applyFill="1" applyBorder="1" applyAlignment="1">
      <alignment readingOrder="1"/>
    </xf>
    <xf numFmtId="0" fontId="534" fillId="535" borderId="536" xfId="0" applyFont="1" applyFill="1" applyBorder="1"/>
    <xf numFmtId="0" fontId="50" fillId="120" borderId="119" xfId="0" applyFont="1" applyFill="1" applyBorder="1" applyAlignment="1">
      <alignment horizontal="left" vertical="top" wrapText="1" readingOrder="1"/>
    </xf>
    <xf numFmtId="0" fontId="50" fillId="97" borderId="96" xfId="0" applyFont="1" applyFill="1" applyBorder="1" applyAlignment="1">
      <alignment horizontal="left" vertical="top" wrapText="1" readingOrder="1"/>
    </xf>
    <xf numFmtId="0" fontId="4" fillId="5" borderId="4" xfId="0" applyFont="1" applyFill="1" applyBorder="1" applyAlignment="1">
      <alignment horizontal="left" vertical="top" wrapText="1" readingOrder="1"/>
    </xf>
    <xf numFmtId="0" fontId="5" fillId="6" borderId="5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explorer.nbb.be/vis?lc=nl&amp;fs%5b0%5d=Overheidsfinanci%C3%ABn,0%7COverheidsrekeningen%23GOV_ACC%23&amp;pg=0&amp;fc=Overheidsfinanci%C3%ABn&amp;bp=true&amp;snb=9&amp;vw=tb&amp;df%5bds%5d=disseminate&amp;df%5bid%5d=DF_NFGOVTSC_DISS&amp;df%5bag%5d=BE2&amp;df%5bvs%5d=1.0&amp;dq=A.D61%2BD611_3%2BD6111V%2BD6111V_S13%2BD6111V_X13%2BD612%2BD613%2BD613CE%2BD613VE%2BD613S%2BD613CS%2BD613VS%2BD613N%2BD613VN%2BD613CN%2BD614%2BD6111C_S13%2BD6111C_X13%2BD6111C%2BD611%2BD613E.S1300&amp;pd=2003,2023&amp;to%5bTIME_PERIOD%5d=false" TargetMode="External"/><Relationship Id="rId1" Type="http://schemas.openxmlformats.org/officeDocument/2006/relationships/hyperlink" Target="http://www.example.org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6"/>
  <sheetViews>
    <sheetView tabSelected="1" topLeftCell="A9" workbookViewId="0">
      <selection activeCell="D19" sqref="D19"/>
    </sheetView>
  </sheetViews>
  <sheetFormatPr defaultRowHeight="15" x14ac:dyDescent="0.25"/>
  <cols>
    <col min="2" max="2" width="20" customWidth="1"/>
    <col min="3" max="3" width="9" customWidth="1"/>
    <col min="4" max="24" width="13.28515625" bestFit="1" customWidth="1"/>
  </cols>
  <sheetData>
    <row r="1" spans="2:24" x14ac:dyDescent="0.25">
      <c r="B1" s="1" t="s">
        <v>0</v>
      </c>
    </row>
    <row r="2" spans="2:24" x14ac:dyDescent="0.25">
      <c r="B2" s="2" t="s">
        <v>1</v>
      </c>
    </row>
    <row r="3" spans="2:24" x14ac:dyDescent="0.25">
      <c r="B3" s="3" t="s">
        <v>2</v>
      </c>
    </row>
    <row r="4" spans="2:24" x14ac:dyDescent="0.25">
      <c r="B4" s="535" t="s">
        <v>51</v>
      </c>
      <c r="C4" t="s">
        <v>52</v>
      </c>
    </row>
    <row r="6" spans="2:24" ht="43.35" customHeight="1" x14ac:dyDescent="0.25">
      <c r="B6" s="540" t="s">
        <v>3</v>
      </c>
      <c r="C6" s="541" t="s">
        <v>3</v>
      </c>
      <c r="D6" s="4" t="s">
        <v>4</v>
      </c>
      <c r="E6" s="5" t="s">
        <v>5</v>
      </c>
      <c r="F6" s="6" t="s">
        <v>6</v>
      </c>
      <c r="G6" s="7" t="s">
        <v>7</v>
      </c>
      <c r="H6" s="8" t="s">
        <v>8</v>
      </c>
      <c r="I6" s="9" t="s">
        <v>9</v>
      </c>
      <c r="J6" s="10" t="s">
        <v>10</v>
      </c>
      <c r="K6" s="11" t="s">
        <v>11</v>
      </c>
      <c r="L6" s="12" t="s">
        <v>12</v>
      </c>
      <c r="M6" s="13" t="s">
        <v>13</v>
      </c>
      <c r="N6" s="14" t="s">
        <v>14</v>
      </c>
      <c r="O6" s="15" t="s">
        <v>15</v>
      </c>
      <c r="P6" s="16" t="s">
        <v>16</v>
      </c>
      <c r="Q6" s="17" t="s">
        <v>17</v>
      </c>
      <c r="R6" s="18" t="s">
        <v>18</v>
      </c>
      <c r="S6" s="19" t="s">
        <v>19</v>
      </c>
      <c r="T6" s="20" t="s">
        <v>20</v>
      </c>
      <c r="U6" s="21" t="s">
        <v>21</v>
      </c>
      <c r="V6" s="22" t="s">
        <v>22</v>
      </c>
      <c r="W6" s="23" t="s">
        <v>23</v>
      </c>
      <c r="X6" s="24" t="s">
        <v>24</v>
      </c>
    </row>
    <row r="7" spans="2:24" x14ac:dyDescent="0.25">
      <c r="B7" s="25" t="s">
        <v>25</v>
      </c>
      <c r="C7" s="26" t="s">
        <v>26</v>
      </c>
      <c r="D7" s="27" t="s">
        <v>26</v>
      </c>
      <c r="E7" s="28" t="s">
        <v>26</v>
      </c>
      <c r="F7" s="29" t="s">
        <v>26</v>
      </c>
      <c r="G7" s="30" t="s">
        <v>26</v>
      </c>
      <c r="H7" s="31" t="s">
        <v>26</v>
      </c>
      <c r="I7" s="32" t="s">
        <v>26</v>
      </c>
      <c r="J7" s="33" t="s">
        <v>26</v>
      </c>
      <c r="K7" s="34" t="s">
        <v>26</v>
      </c>
      <c r="L7" s="35" t="s">
        <v>26</v>
      </c>
      <c r="M7" s="36" t="s">
        <v>26</v>
      </c>
      <c r="N7" s="37" t="s">
        <v>26</v>
      </c>
      <c r="O7" s="38" t="s">
        <v>26</v>
      </c>
      <c r="P7" s="39" t="s">
        <v>26</v>
      </c>
      <c r="Q7" s="40" t="s">
        <v>26</v>
      </c>
      <c r="R7" s="41" t="s">
        <v>26</v>
      </c>
      <c r="S7" s="42" t="s">
        <v>26</v>
      </c>
      <c r="T7" s="43" t="s">
        <v>26</v>
      </c>
      <c r="U7" s="44" t="s">
        <v>26</v>
      </c>
      <c r="V7" s="45" t="s">
        <v>26</v>
      </c>
      <c r="W7" s="46" t="s">
        <v>26</v>
      </c>
      <c r="X7" s="47" t="s">
        <v>26</v>
      </c>
    </row>
    <row r="8" spans="2:24" ht="43.35" customHeight="1" x14ac:dyDescent="0.25">
      <c r="B8" s="48" t="s">
        <v>27</v>
      </c>
      <c r="C8" s="49" t="s">
        <v>26</v>
      </c>
      <c r="D8" s="50">
        <v>45037.1</v>
      </c>
      <c r="E8" s="51">
        <v>46521</v>
      </c>
      <c r="F8" s="52">
        <v>47826.9</v>
      </c>
      <c r="G8" s="53">
        <v>50029.7</v>
      </c>
      <c r="H8" s="54">
        <v>53122.6</v>
      </c>
      <c r="I8" s="55">
        <v>56169.4</v>
      </c>
      <c r="J8" s="56">
        <v>57574.6</v>
      </c>
      <c r="K8" s="57">
        <v>58920.2</v>
      </c>
      <c r="L8" s="58">
        <v>61911.9</v>
      </c>
      <c r="M8" s="59">
        <v>64488.1</v>
      </c>
      <c r="N8" s="60">
        <v>66143.199999999997</v>
      </c>
      <c r="O8" s="61">
        <v>66892.600000000006</v>
      </c>
      <c r="P8" s="62">
        <v>68119.3</v>
      </c>
      <c r="Q8" s="63">
        <v>67725.399999999994</v>
      </c>
      <c r="R8" s="64">
        <v>69774</v>
      </c>
      <c r="S8" s="65">
        <v>71356.600000000006</v>
      </c>
      <c r="T8" s="66">
        <v>73674.2</v>
      </c>
      <c r="U8" s="67">
        <v>73100.600000000006</v>
      </c>
      <c r="V8" s="68">
        <v>76662.600000000006</v>
      </c>
      <c r="W8" s="69">
        <v>83216.800000000003</v>
      </c>
      <c r="X8" s="70">
        <v>90165</v>
      </c>
    </row>
    <row r="9" spans="2:24" ht="43.35" customHeight="1" x14ac:dyDescent="0.25">
      <c r="B9" s="71" t="s">
        <v>28</v>
      </c>
      <c r="C9" s="72" t="s">
        <v>26</v>
      </c>
      <c r="D9" s="73">
        <v>39117.800000000003</v>
      </c>
      <c r="E9" s="74">
        <v>40386.199999999997</v>
      </c>
      <c r="F9" s="75">
        <v>41547.9</v>
      </c>
      <c r="G9" s="76">
        <v>43245.4</v>
      </c>
      <c r="H9" s="77">
        <v>45985.3</v>
      </c>
      <c r="I9" s="78">
        <v>48617.1</v>
      </c>
      <c r="J9" s="79">
        <v>49631.1</v>
      </c>
      <c r="K9" s="80">
        <v>50733.9</v>
      </c>
      <c r="L9" s="81">
        <v>53192.9</v>
      </c>
      <c r="M9" s="82">
        <v>55359</v>
      </c>
      <c r="N9" s="83">
        <v>56604.800000000003</v>
      </c>
      <c r="O9" s="84">
        <v>57304.9</v>
      </c>
      <c r="P9" s="85">
        <v>58883</v>
      </c>
      <c r="Q9" s="86">
        <v>58196.800000000003</v>
      </c>
      <c r="R9" s="87">
        <v>59859</v>
      </c>
      <c r="S9" s="88">
        <v>61189.5</v>
      </c>
      <c r="T9" s="89">
        <v>63286.3</v>
      </c>
      <c r="U9" s="90">
        <v>62375.1</v>
      </c>
      <c r="V9" s="91">
        <v>65663.100000000006</v>
      </c>
      <c r="W9" s="92">
        <v>71184.7</v>
      </c>
      <c r="X9" s="93">
        <v>77169.100000000006</v>
      </c>
    </row>
    <row r="10" spans="2:24" ht="43.35" customHeight="1" x14ac:dyDescent="0.25">
      <c r="B10" s="539" t="s">
        <v>29</v>
      </c>
      <c r="C10" s="95" t="s">
        <v>26</v>
      </c>
      <c r="D10" s="96">
        <v>23708.6</v>
      </c>
      <c r="E10" s="97">
        <v>24414.2</v>
      </c>
      <c r="F10" s="98">
        <v>25251.4</v>
      </c>
      <c r="G10" s="99">
        <v>26446.9</v>
      </c>
      <c r="H10" s="100">
        <v>28215.9</v>
      </c>
      <c r="I10" s="101">
        <v>29803</v>
      </c>
      <c r="J10" s="102">
        <v>30354.799999999999</v>
      </c>
      <c r="K10" s="103">
        <v>31041.200000000001</v>
      </c>
      <c r="L10" s="104">
        <v>32720.6</v>
      </c>
      <c r="M10" s="105">
        <v>34116</v>
      </c>
      <c r="N10" s="106">
        <v>34914.5</v>
      </c>
      <c r="O10" s="107">
        <v>35324.1</v>
      </c>
      <c r="P10" s="108">
        <v>36239.599999999999</v>
      </c>
      <c r="Q10" s="109">
        <v>35196.800000000003</v>
      </c>
      <c r="R10" s="110">
        <v>36119.4</v>
      </c>
      <c r="S10" s="111">
        <v>36585.1</v>
      </c>
      <c r="T10" s="112">
        <v>37902.1</v>
      </c>
      <c r="U10" s="113">
        <v>37351.599999999999</v>
      </c>
      <c r="V10" s="114">
        <v>39411.699999999997</v>
      </c>
      <c r="W10" s="115">
        <v>42730.1</v>
      </c>
      <c r="X10" s="116">
        <v>46011.6</v>
      </c>
    </row>
    <row r="11" spans="2:24" ht="43.35" customHeight="1" x14ac:dyDescent="0.25">
      <c r="B11" s="538" t="s">
        <v>30</v>
      </c>
      <c r="C11" s="118" t="s">
        <v>26</v>
      </c>
      <c r="D11" s="119">
        <v>23708.6</v>
      </c>
      <c r="E11" s="120">
        <v>24414.2</v>
      </c>
      <c r="F11" s="121">
        <v>25251.4</v>
      </c>
      <c r="G11" s="122">
        <v>26446.9</v>
      </c>
      <c r="H11" s="123">
        <v>28215.9</v>
      </c>
      <c r="I11" s="124">
        <v>29803</v>
      </c>
      <c r="J11" s="125">
        <v>30354.799999999999</v>
      </c>
      <c r="K11" s="126">
        <v>31041.200000000001</v>
      </c>
      <c r="L11" s="127">
        <v>32720.6</v>
      </c>
      <c r="M11" s="128">
        <v>34116</v>
      </c>
      <c r="N11" s="129">
        <v>34914.5</v>
      </c>
      <c r="O11" s="130">
        <v>35324.1</v>
      </c>
      <c r="P11" s="131">
        <v>36239.599999999999</v>
      </c>
      <c r="Q11" s="132">
        <v>35196.800000000003</v>
      </c>
      <c r="R11" s="133">
        <v>36119.4</v>
      </c>
      <c r="S11" s="134">
        <v>36585.1</v>
      </c>
      <c r="T11" s="135">
        <v>37902.1</v>
      </c>
      <c r="U11" s="136">
        <v>37351.599999999999</v>
      </c>
      <c r="V11" s="137">
        <v>39411.699999999997</v>
      </c>
      <c r="W11" s="138">
        <v>42730.1</v>
      </c>
      <c r="X11" s="139">
        <v>46011.6</v>
      </c>
    </row>
    <row r="12" spans="2:24" ht="43.35" customHeight="1" x14ac:dyDescent="0.25">
      <c r="B12" s="140" t="s">
        <v>31</v>
      </c>
      <c r="C12" s="141" t="s">
        <v>26</v>
      </c>
      <c r="D12" s="142">
        <v>3775.7</v>
      </c>
      <c r="E12" s="143">
        <v>3920.1</v>
      </c>
      <c r="F12" s="144">
        <v>4118.3</v>
      </c>
      <c r="G12" s="145">
        <v>4305.3</v>
      </c>
      <c r="H12" s="146">
        <v>4492.7</v>
      </c>
      <c r="I12" s="147">
        <v>4766.8999999999996</v>
      </c>
      <c r="J12" s="148">
        <v>5151.2</v>
      </c>
      <c r="K12" s="149">
        <v>5380.6</v>
      </c>
      <c r="L12" s="150">
        <v>5681.2</v>
      </c>
      <c r="M12" s="151">
        <v>6292.5</v>
      </c>
      <c r="N12" s="152">
        <v>6678.1</v>
      </c>
      <c r="O12" s="153">
        <v>6908</v>
      </c>
      <c r="P12" s="154">
        <v>7686.1</v>
      </c>
      <c r="Q12" s="155">
        <v>7711.2</v>
      </c>
      <c r="R12" s="156">
        <v>8012.3</v>
      </c>
      <c r="S12" s="157">
        <v>8262.7999999999993</v>
      </c>
      <c r="T12" s="158">
        <v>8556.7000000000007</v>
      </c>
      <c r="U12" s="159">
        <v>8823.5</v>
      </c>
      <c r="V12" s="160">
        <v>9236.9</v>
      </c>
      <c r="W12" s="161">
        <v>9612.2999999999993</v>
      </c>
      <c r="X12" s="162">
        <v>10882.6</v>
      </c>
    </row>
    <row r="13" spans="2:24" ht="43.35" customHeight="1" x14ac:dyDescent="0.25">
      <c r="B13" s="163" t="s">
        <v>32</v>
      </c>
      <c r="C13" s="164" t="s">
        <v>26</v>
      </c>
      <c r="D13" s="165">
        <v>19932.900000000001</v>
      </c>
      <c r="E13" s="166">
        <v>20494.099999999999</v>
      </c>
      <c r="F13" s="167">
        <v>21133.1</v>
      </c>
      <c r="G13" s="168">
        <v>22141.599999999999</v>
      </c>
      <c r="H13" s="169">
        <v>23723.200000000001</v>
      </c>
      <c r="I13" s="170">
        <v>25036.1</v>
      </c>
      <c r="J13" s="171">
        <v>25203.599999999999</v>
      </c>
      <c r="K13" s="172">
        <v>25660.6</v>
      </c>
      <c r="L13" s="173">
        <v>27039.4</v>
      </c>
      <c r="M13" s="174">
        <v>27823.599999999999</v>
      </c>
      <c r="N13" s="175">
        <v>28236.400000000001</v>
      </c>
      <c r="O13" s="176">
        <v>28416.1</v>
      </c>
      <c r="P13" s="177">
        <v>28553.5</v>
      </c>
      <c r="Q13" s="178">
        <v>27485.599999999999</v>
      </c>
      <c r="R13" s="179">
        <v>28107.1</v>
      </c>
      <c r="S13" s="180">
        <v>28322.3</v>
      </c>
      <c r="T13" s="181">
        <v>29345.4</v>
      </c>
      <c r="U13" s="182">
        <v>28528.1</v>
      </c>
      <c r="V13" s="183">
        <v>30174.799999999999</v>
      </c>
      <c r="W13" s="184">
        <v>33117.800000000003</v>
      </c>
      <c r="X13" s="185">
        <v>35129</v>
      </c>
    </row>
    <row r="14" spans="2:24" ht="43.35" customHeight="1" x14ac:dyDescent="0.25">
      <c r="B14" s="186" t="s">
        <v>33</v>
      </c>
      <c r="C14" s="187" t="s">
        <v>26</v>
      </c>
      <c r="D14" s="188">
        <v>0</v>
      </c>
      <c r="E14" s="189">
        <v>0</v>
      </c>
      <c r="F14" s="190">
        <v>0</v>
      </c>
      <c r="G14" s="191">
        <v>0</v>
      </c>
      <c r="H14" s="192">
        <v>0</v>
      </c>
      <c r="I14" s="193">
        <v>0</v>
      </c>
      <c r="J14" s="194">
        <v>0</v>
      </c>
      <c r="K14" s="195">
        <v>0</v>
      </c>
      <c r="L14" s="196">
        <v>0</v>
      </c>
      <c r="M14" s="197">
        <v>0</v>
      </c>
      <c r="N14" s="198">
        <v>0</v>
      </c>
      <c r="O14" s="199">
        <v>0</v>
      </c>
      <c r="P14" s="200">
        <v>0</v>
      </c>
      <c r="Q14" s="201">
        <v>0</v>
      </c>
      <c r="R14" s="202">
        <v>0</v>
      </c>
      <c r="S14" s="203">
        <v>0</v>
      </c>
      <c r="T14" s="204">
        <v>0</v>
      </c>
      <c r="U14" s="205">
        <v>0</v>
      </c>
      <c r="V14" s="206">
        <v>0</v>
      </c>
      <c r="W14" s="207">
        <v>0</v>
      </c>
      <c r="X14" s="208">
        <v>0</v>
      </c>
    </row>
    <row r="15" spans="2:24" ht="43.35" customHeight="1" x14ac:dyDescent="0.25">
      <c r="B15" s="209" t="s">
        <v>31</v>
      </c>
      <c r="C15" s="210" t="s">
        <v>26</v>
      </c>
      <c r="D15" s="211">
        <v>0</v>
      </c>
      <c r="E15" s="212">
        <v>0</v>
      </c>
      <c r="F15" s="213">
        <v>0</v>
      </c>
      <c r="G15" s="214">
        <v>0</v>
      </c>
      <c r="H15" s="215">
        <v>0</v>
      </c>
      <c r="I15" s="216">
        <v>0</v>
      </c>
      <c r="J15" s="217">
        <v>0</v>
      </c>
      <c r="K15" s="218">
        <v>0</v>
      </c>
      <c r="L15" s="219">
        <v>0</v>
      </c>
      <c r="M15" s="220">
        <v>0</v>
      </c>
      <c r="N15" s="221">
        <v>0</v>
      </c>
      <c r="O15" s="222">
        <v>0</v>
      </c>
      <c r="P15" s="223">
        <v>0</v>
      </c>
      <c r="Q15" s="224">
        <v>0</v>
      </c>
      <c r="R15" s="225">
        <v>0</v>
      </c>
      <c r="S15" s="226">
        <v>0</v>
      </c>
      <c r="T15" s="227">
        <v>0</v>
      </c>
      <c r="U15" s="228">
        <v>0</v>
      </c>
      <c r="V15" s="229">
        <v>0</v>
      </c>
      <c r="W15" s="230">
        <v>0</v>
      </c>
      <c r="X15" s="231">
        <v>0</v>
      </c>
    </row>
    <row r="16" spans="2:24" ht="43.35" customHeight="1" x14ac:dyDescent="0.25">
      <c r="B16" s="232" t="s">
        <v>32</v>
      </c>
      <c r="C16" s="233" t="s">
        <v>26</v>
      </c>
      <c r="D16" s="234">
        <v>0</v>
      </c>
      <c r="E16" s="235">
        <v>0</v>
      </c>
      <c r="F16" s="236">
        <v>0</v>
      </c>
      <c r="G16" s="237">
        <v>0</v>
      </c>
      <c r="H16" s="238">
        <v>0</v>
      </c>
      <c r="I16" s="239">
        <v>0</v>
      </c>
      <c r="J16" s="240">
        <v>0</v>
      </c>
      <c r="K16" s="241">
        <v>0</v>
      </c>
      <c r="L16" s="242">
        <v>0</v>
      </c>
      <c r="M16" s="243">
        <v>0</v>
      </c>
      <c r="N16" s="244">
        <v>0</v>
      </c>
      <c r="O16" s="245">
        <v>0</v>
      </c>
      <c r="P16" s="246">
        <v>0</v>
      </c>
      <c r="Q16" s="247">
        <v>0</v>
      </c>
      <c r="R16" s="248">
        <v>0</v>
      </c>
      <c r="S16" s="249">
        <v>0</v>
      </c>
      <c r="T16" s="250">
        <v>0</v>
      </c>
      <c r="U16" s="251">
        <v>0</v>
      </c>
      <c r="V16" s="252">
        <v>0</v>
      </c>
      <c r="W16" s="253">
        <v>0</v>
      </c>
      <c r="X16" s="254">
        <v>0</v>
      </c>
    </row>
    <row r="17" spans="2:25" ht="43.35" customHeight="1" x14ac:dyDescent="0.25">
      <c r="B17" s="255" t="s">
        <v>34</v>
      </c>
      <c r="C17" s="256" t="s">
        <v>26</v>
      </c>
      <c r="D17" s="257">
        <v>5919.3</v>
      </c>
      <c r="E17" s="258">
        <v>6134.8</v>
      </c>
      <c r="F17" s="259">
        <v>6279</v>
      </c>
      <c r="G17" s="260">
        <v>6784.3</v>
      </c>
      <c r="H17" s="261">
        <v>7137.3</v>
      </c>
      <c r="I17" s="262">
        <v>7552.3</v>
      </c>
      <c r="J17" s="263">
        <v>7943.5</v>
      </c>
      <c r="K17" s="264">
        <v>8186.3</v>
      </c>
      <c r="L17" s="265">
        <v>8719</v>
      </c>
      <c r="M17" s="266">
        <v>9129.1</v>
      </c>
      <c r="N17" s="267">
        <v>9538.4</v>
      </c>
      <c r="O17" s="268">
        <v>9587.7000000000007</v>
      </c>
      <c r="P17" s="269">
        <v>9236.2999999999993</v>
      </c>
      <c r="Q17" s="270">
        <v>9528.7000000000007</v>
      </c>
      <c r="R17" s="271">
        <v>9915</v>
      </c>
      <c r="S17" s="272">
        <v>10167.1</v>
      </c>
      <c r="T17" s="273">
        <v>10387.9</v>
      </c>
      <c r="U17" s="274">
        <v>10725.6</v>
      </c>
      <c r="V17" s="275">
        <v>10999.6</v>
      </c>
      <c r="W17" s="276">
        <v>12032.1</v>
      </c>
      <c r="X17" s="277">
        <v>12996.1</v>
      </c>
    </row>
    <row r="18" spans="2:25" ht="43.35" customHeight="1" x14ac:dyDescent="0.25">
      <c r="B18" s="278" t="s">
        <v>35</v>
      </c>
      <c r="C18" s="279" t="s">
        <v>26</v>
      </c>
      <c r="D18" s="280">
        <v>15404.8</v>
      </c>
      <c r="E18" s="281">
        <v>15967.9</v>
      </c>
      <c r="F18" s="282">
        <v>16295.2</v>
      </c>
      <c r="G18" s="283">
        <v>16793.5</v>
      </c>
      <c r="H18" s="284">
        <v>17767.5</v>
      </c>
      <c r="I18" s="285">
        <v>18817.8</v>
      </c>
      <c r="J18" s="286">
        <v>19278.5</v>
      </c>
      <c r="K18" s="287">
        <v>19695.099999999999</v>
      </c>
      <c r="L18" s="288">
        <v>20471.2</v>
      </c>
      <c r="M18" s="289">
        <v>21238.5</v>
      </c>
      <c r="N18" s="290">
        <v>21686.6</v>
      </c>
      <c r="O18" s="291">
        <v>21980.799999999999</v>
      </c>
      <c r="P18" s="292">
        <v>22644.400000000001</v>
      </c>
      <c r="Q18" s="293">
        <v>22998.6</v>
      </c>
      <c r="R18" s="294">
        <v>23738.2</v>
      </c>
      <c r="S18" s="295">
        <v>24602.9</v>
      </c>
      <c r="T18" s="296">
        <v>25382.9</v>
      </c>
      <c r="U18" s="297">
        <v>25022.2</v>
      </c>
      <c r="V18" s="298">
        <v>26250.5</v>
      </c>
      <c r="W18" s="299">
        <v>28454</v>
      </c>
      <c r="X18" s="300">
        <v>31156.7</v>
      </c>
    </row>
    <row r="19" spans="2:25" ht="43.35" customHeight="1" x14ac:dyDescent="0.25">
      <c r="B19" s="301" t="s">
        <v>36</v>
      </c>
      <c r="C19" s="302" t="s">
        <v>26</v>
      </c>
      <c r="D19" s="303">
        <v>12106.6</v>
      </c>
      <c r="E19" s="304">
        <v>12506.7</v>
      </c>
      <c r="F19" s="305">
        <v>12709.2</v>
      </c>
      <c r="G19" s="306">
        <v>13016.5</v>
      </c>
      <c r="H19" s="307">
        <v>13848.3</v>
      </c>
      <c r="I19" s="308">
        <v>14406.9</v>
      </c>
      <c r="J19" s="309">
        <v>14645.9</v>
      </c>
      <c r="K19" s="310">
        <v>14996.6</v>
      </c>
      <c r="L19" s="311">
        <v>15696.9</v>
      </c>
      <c r="M19" s="312">
        <v>16239.8</v>
      </c>
      <c r="N19" s="313">
        <v>16477.400000000001</v>
      </c>
      <c r="O19" s="314">
        <v>16683</v>
      </c>
      <c r="P19" s="315">
        <v>17036.599999999999</v>
      </c>
      <c r="Q19" s="316">
        <v>17174.8</v>
      </c>
      <c r="R19" s="317">
        <v>17744.5</v>
      </c>
      <c r="S19" s="318">
        <v>18425.5</v>
      </c>
      <c r="T19" s="319">
        <v>19080.8</v>
      </c>
      <c r="U19" s="320">
        <v>18851.599999999999</v>
      </c>
      <c r="V19" s="321">
        <v>19857.5</v>
      </c>
      <c r="W19" s="322">
        <v>21651.3</v>
      </c>
      <c r="X19" s="323">
        <v>23772</v>
      </c>
    </row>
    <row r="20" spans="2:25" ht="43.35" customHeight="1" x14ac:dyDescent="0.25">
      <c r="B20" s="324" t="s">
        <v>37</v>
      </c>
      <c r="C20" s="325" t="s">
        <v>26</v>
      </c>
      <c r="D20" s="326">
        <v>12104.7</v>
      </c>
      <c r="E20" s="327">
        <v>12505.4</v>
      </c>
      <c r="F20" s="328">
        <v>12707.9</v>
      </c>
      <c r="G20" s="329">
        <v>13015.4</v>
      </c>
      <c r="H20" s="330">
        <v>13847.3</v>
      </c>
      <c r="I20" s="331">
        <v>14405.9</v>
      </c>
      <c r="J20" s="332">
        <v>14644.8</v>
      </c>
      <c r="K20" s="333">
        <v>14995.5</v>
      </c>
      <c r="L20" s="334">
        <v>15695.8</v>
      </c>
      <c r="M20" s="335">
        <v>16238.7</v>
      </c>
      <c r="N20" s="336">
        <v>16476.400000000001</v>
      </c>
      <c r="O20" s="337">
        <v>16681.7</v>
      </c>
      <c r="P20" s="338">
        <v>17035.599999999999</v>
      </c>
      <c r="Q20" s="339">
        <v>17173.8</v>
      </c>
      <c r="R20" s="340">
        <v>17744</v>
      </c>
      <c r="S20" s="341">
        <v>18417.7</v>
      </c>
      <c r="T20" s="342">
        <v>19070.599999999999</v>
      </c>
      <c r="U20" s="343">
        <v>18837.400000000001</v>
      </c>
      <c r="V20" s="344">
        <v>19841</v>
      </c>
      <c r="W20" s="345">
        <v>21645.4</v>
      </c>
      <c r="X20" s="346">
        <v>23770.6</v>
      </c>
    </row>
    <row r="21" spans="2:25" ht="43.35" customHeight="1" x14ac:dyDescent="0.25">
      <c r="B21" s="347" t="s">
        <v>38</v>
      </c>
      <c r="C21" s="348" t="s">
        <v>26</v>
      </c>
      <c r="D21" s="349">
        <v>1.9</v>
      </c>
      <c r="E21" s="350">
        <v>1.3</v>
      </c>
      <c r="F21" s="351">
        <v>1.3</v>
      </c>
      <c r="G21" s="352">
        <v>1.1000000000000001</v>
      </c>
      <c r="H21" s="353">
        <v>1</v>
      </c>
      <c r="I21" s="354">
        <v>1</v>
      </c>
      <c r="J21" s="355">
        <v>1.1000000000000001</v>
      </c>
      <c r="K21" s="356">
        <v>1.1000000000000001</v>
      </c>
      <c r="L21" s="357">
        <v>1.1000000000000001</v>
      </c>
      <c r="M21" s="358">
        <v>1.1000000000000001</v>
      </c>
      <c r="N21" s="359">
        <v>1</v>
      </c>
      <c r="O21" s="360">
        <v>1.3</v>
      </c>
      <c r="P21" s="361">
        <v>1</v>
      </c>
      <c r="Q21" s="362">
        <v>1</v>
      </c>
      <c r="R21" s="363">
        <v>0.6</v>
      </c>
      <c r="S21" s="364">
        <v>7.8</v>
      </c>
      <c r="T21" s="365">
        <v>10.199999999999999</v>
      </c>
      <c r="U21" s="366">
        <v>14.2</v>
      </c>
      <c r="V21" s="367">
        <v>16.5</v>
      </c>
      <c r="W21" s="368">
        <v>5.9</v>
      </c>
      <c r="X21" s="369">
        <v>1.4</v>
      </c>
    </row>
    <row r="22" spans="2:25" ht="43.35" customHeight="1" x14ac:dyDescent="0.25">
      <c r="B22" s="370" t="s">
        <v>39</v>
      </c>
      <c r="C22" s="371" t="s">
        <v>26</v>
      </c>
      <c r="D22" s="372">
        <v>2266.1999999999998</v>
      </c>
      <c r="E22" s="373">
        <v>2365</v>
      </c>
      <c r="F22" s="374">
        <v>2427.3000000000002</v>
      </c>
      <c r="G22" s="375">
        <v>2569.4</v>
      </c>
      <c r="H22" s="376">
        <v>2678.4</v>
      </c>
      <c r="I22" s="377">
        <v>3066.1</v>
      </c>
      <c r="J22" s="378">
        <v>3233.9</v>
      </c>
      <c r="K22" s="379">
        <v>3342.4</v>
      </c>
      <c r="L22" s="380">
        <v>3400.2</v>
      </c>
      <c r="M22" s="381">
        <v>3538.6</v>
      </c>
      <c r="N22" s="382">
        <v>3703.1</v>
      </c>
      <c r="O22" s="383">
        <v>3725.5</v>
      </c>
      <c r="P22" s="384">
        <v>3974.9</v>
      </c>
      <c r="Q22" s="385">
        <v>4071.3</v>
      </c>
      <c r="R22" s="386">
        <v>4153.1000000000004</v>
      </c>
      <c r="S22" s="387">
        <v>4238</v>
      </c>
      <c r="T22" s="388">
        <v>4327.1000000000004</v>
      </c>
      <c r="U22" s="389">
        <v>4087.8</v>
      </c>
      <c r="V22" s="390">
        <v>4433.2</v>
      </c>
      <c r="W22" s="391">
        <v>4596.3</v>
      </c>
      <c r="X22" s="392">
        <v>5047.2</v>
      </c>
    </row>
    <row r="23" spans="2:25" ht="43.35" customHeight="1" x14ac:dyDescent="0.25">
      <c r="B23" s="393" t="s">
        <v>40</v>
      </c>
      <c r="C23" s="394" t="s">
        <v>26</v>
      </c>
      <c r="D23" s="395">
        <v>2266.1999999999998</v>
      </c>
      <c r="E23" s="396">
        <v>2365</v>
      </c>
      <c r="F23" s="397">
        <v>2427.3000000000002</v>
      </c>
      <c r="G23" s="398">
        <v>2569.4</v>
      </c>
      <c r="H23" s="399">
        <v>2678.4</v>
      </c>
      <c r="I23" s="400">
        <v>3066.1</v>
      </c>
      <c r="J23" s="401">
        <v>3233.9</v>
      </c>
      <c r="K23" s="402">
        <v>3342.4</v>
      </c>
      <c r="L23" s="403">
        <v>3400.2</v>
      </c>
      <c r="M23" s="404">
        <v>3538.6</v>
      </c>
      <c r="N23" s="405">
        <v>3703.1</v>
      </c>
      <c r="O23" s="406">
        <v>3725.5</v>
      </c>
      <c r="P23" s="407">
        <v>3974.9</v>
      </c>
      <c r="Q23" s="408">
        <v>4071.3</v>
      </c>
      <c r="R23" s="409">
        <v>4153.1000000000004</v>
      </c>
      <c r="S23" s="410">
        <v>4238</v>
      </c>
      <c r="T23" s="411">
        <v>4327.1000000000004</v>
      </c>
      <c r="U23" s="412">
        <v>4087.8</v>
      </c>
      <c r="V23" s="413">
        <v>4433.2</v>
      </c>
      <c r="W23" s="414">
        <v>4596.3</v>
      </c>
      <c r="X23" s="415">
        <v>5047.2</v>
      </c>
    </row>
    <row r="24" spans="2:25" ht="43.35" customHeight="1" x14ac:dyDescent="0.25">
      <c r="B24" s="416" t="s">
        <v>41</v>
      </c>
      <c r="C24" s="417" t="s">
        <v>26</v>
      </c>
      <c r="D24" s="418">
        <v>0</v>
      </c>
      <c r="E24" s="419">
        <v>0</v>
      </c>
      <c r="F24" s="420">
        <v>0</v>
      </c>
      <c r="G24" s="421">
        <v>0</v>
      </c>
      <c r="H24" s="422">
        <v>0</v>
      </c>
      <c r="I24" s="423">
        <v>0</v>
      </c>
      <c r="J24" s="424">
        <v>0</v>
      </c>
      <c r="K24" s="425">
        <v>0</v>
      </c>
      <c r="L24" s="426">
        <v>0</v>
      </c>
      <c r="M24" s="427">
        <v>0</v>
      </c>
      <c r="N24" s="428">
        <v>0</v>
      </c>
      <c r="O24" s="429">
        <v>0</v>
      </c>
      <c r="P24" s="430">
        <v>0</v>
      </c>
      <c r="Q24" s="431">
        <v>0</v>
      </c>
      <c r="R24" s="432">
        <v>0</v>
      </c>
      <c r="S24" s="433">
        <v>0</v>
      </c>
      <c r="T24" s="434">
        <v>0</v>
      </c>
      <c r="U24" s="435">
        <v>0</v>
      </c>
      <c r="V24" s="436">
        <v>0</v>
      </c>
      <c r="W24" s="437">
        <v>0</v>
      </c>
      <c r="X24" s="438">
        <v>0</v>
      </c>
    </row>
    <row r="25" spans="2:25" ht="43.35" customHeight="1" x14ac:dyDescent="0.25">
      <c r="B25" s="439" t="s">
        <v>42</v>
      </c>
      <c r="C25" s="440" t="s">
        <v>26</v>
      </c>
      <c r="D25" s="441">
        <v>1032</v>
      </c>
      <c r="E25" s="442">
        <v>1096.2</v>
      </c>
      <c r="F25" s="443">
        <v>1158.7</v>
      </c>
      <c r="G25" s="444">
        <v>1207.5999999999999</v>
      </c>
      <c r="H25" s="445">
        <v>1240.8</v>
      </c>
      <c r="I25" s="446">
        <v>1344.8</v>
      </c>
      <c r="J25" s="447">
        <v>1398.7</v>
      </c>
      <c r="K25" s="448">
        <v>1356.1</v>
      </c>
      <c r="L25" s="449">
        <v>1374.1</v>
      </c>
      <c r="M25" s="450">
        <v>1460.1</v>
      </c>
      <c r="N25" s="451">
        <v>1506</v>
      </c>
      <c r="O25" s="452">
        <v>1572.3</v>
      </c>
      <c r="P25" s="453">
        <v>1632.9</v>
      </c>
      <c r="Q25" s="454">
        <v>1752.4</v>
      </c>
      <c r="R25" s="455">
        <v>1840.6</v>
      </c>
      <c r="S25" s="456">
        <v>1939.4</v>
      </c>
      <c r="T25" s="457">
        <v>1975</v>
      </c>
      <c r="U25" s="458">
        <v>2082.8000000000002</v>
      </c>
      <c r="V25" s="459">
        <v>1959.8</v>
      </c>
      <c r="W25" s="460">
        <v>2206.4</v>
      </c>
      <c r="X25" s="461">
        <v>2337.6</v>
      </c>
    </row>
    <row r="26" spans="2:25" ht="43.35" customHeight="1" x14ac:dyDescent="0.25">
      <c r="B26" s="462" t="s">
        <v>43</v>
      </c>
      <c r="C26" s="463" t="s">
        <v>26</v>
      </c>
      <c r="D26" s="464">
        <v>983.9</v>
      </c>
      <c r="E26" s="465">
        <v>1048.0999999999999</v>
      </c>
      <c r="F26" s="466">
        <v>1109.4000000000001</v>
      </c>
      <c r="G26" s="467">
        <v>1153.5</v>
      </c>
      <c r="H26" s="468">
        <v>1187.2</v>
      </c>
      <c r="I26" s="469">
        <v>1283.7</v>
      </c>
      <c r="J26" s="470">
        <v>1337.6</v>
      </c>
      <c r="K26" s="471">
        <v>1295</v>
      </c>
      <c r="L26" s="472">
        <v>1308.5</v>
      </c>
      <c r="M26" s="473">
        <v>1390.1</v>
      </c>
      <c r="N26" s="474">
        <v>1432.7</v>
      </c>
      <c r="O26" s="475">
        <v>1500.5</v>
      </c>
      <c r="P26" s="476">
        <v>1562.3</v>
      </c>
      <c r="Q26" s="477">
        <v>1681.9</v>
      </c>
      <c r="R26" s="478">
        <v>1768.2</v>
      </c>
      <c r="S26" s="479">
        <v>1864</v>
      </c>
      <c r="T26" s="480">
        <v>1902.9</v>
      </c>
      <c r="U26" s="481">
        <v>2016.3</v>
      </c>
      <c r="V26" s="482">
        <v>1894.5</v>
      </c>
      <c r="W26" s="483">
        <v>2141.1999999999998</v>
      </c>
      <c r="X26" s="484">
        <v>2265</v>
      </c>
    </row>
    <row r="27" spans="2:25" ht="43.35" customHeight="1" x14ac:dyDescent="0.25">
      <c r="B27" s="485" t="s">
        <v>44</v>
      </c>
      <c r="C27" s="486" t="s">
        <v>26</v>
      </c>
      <c r="D27" s="487">
        <v>48.1</v>
      </c>
      <c r="E27" s="488">
        <v>48.1</v>
      </c>
      <c r="F27" s="489">
        <v>49.3</v>
      </c>
      <c r="G27" s="490">
        <v>54.1</v>
      </c>
      <c r="H27" s="491">
        <v>53.6</v>
      </c>
      <c r="I27" s="492">
        <v>61.1</v>
      </c>
      <c r="J27" s="493">
        <v>61.1</v>
      </c>
      <c r="K27" s="494">
        <v>61.1</v>
      </c>
      <c r="L27" s="495">
        <v>65.599999999999994</v>
      </c>
      <c r="M27" s="496">
        <v>70</v>
      </c>
      <c r="N27" s="497">
        <v>73.3</v>
      </c>
      <c r="O27" s="498">
        <v>71.8</v>
      </c>
      <c r="P27" s="499">
        <v>70.5</v>
      </c>
      <c r="Q27" s="500">
        <v>70.5</v>
      </c>
      <c r="R27" s="501">
        <v>72.400000000000006</v>
      </c>
      <c r="S27" s="502">
        <v>75.400000000000006</v>
      </c>
      <c r="T27" s="503">
        <v>72.099999999999994</v>
      </c>
      <c r="U27" s="504">
        <v>66.5</v>
      </c>
      <c r="V27" s="505">
        <v>65.2</v>
      </c>
      <c r="W27" s="506">
        <v>65.2</v>
      </c>
      <c r="X27" s="507">
        <v>72.599999999999994</v>
      </c>
    </row>
    <row r="28" spans="2:25" ht="43.35" customHeight="1" x14ac:dyDescent="0.25">
      <c r="B28" s="508" t="s">
        <v>45</v>
      </c>
      <c r="C28" s="509" t="s">
        <v>26</v>
      </c>
      <c r="D28" s="510">
        <v>5.6</v>
      </c>
      <c r="E28" s="511">
        <v>5.7</v>
      </c>
      <c r="F28" s="512">
        <v>5.5</v>
      </c>
      <c r="G28" s="513">
        <v>10.3</v>
      </c>
      <c r="H28" s="514">
        <v>6.4</v>
      </c>
      <c r="I28" s="515">
        <v>2.8</v>
      </c>
      <c r="J28" s="516">
        <v>3.8</v>
      </c>
      <c r="K28" s="517">
        <v>4.8</v>
      </c>
      <c r="L28" s="518">
        <v>7.3</v>
      </c>
      <c r="M28" s="519">
        <v>7</v>
      </c>
      <c r="N28" s="520">
        <v>6.4</v>
      </c>
      <c r="O28" s="521">
        <v>2.5</v>
      </c>
      <c r="P28" s="522">
        <v>1.4</v>
      </c>
      <c r="Q28" s="523">
        <v>1.5</v>
      </c>
      <c r="R28" s="524">
        <v>1.5</v>
      </c>
      <c r="S28" s="525">
        <v>1.5</v>
      </c>
      <c r="T28" s="526">
        <v>1.5</v>
      </c>
      <c r="U28" s="527">
        <v>1.4</v>
      </c>
      <c r="V28" s="528">
        <v>1</v>
      </c>
      <c r="W28" s="529">
        <v>0.7</v>
      </c>
      <c r="X28" s="530">
        <v>0.7</v>
      </c>
    </row>
    <row r="30" spans="2:25" x14ac:dyDescent="0.25">
      <c r="B30" s="531" t="s">
        <v>46</v>
      </c>
      <c r="Y30" s="532" t="s">
        <v>0</v>
      </c>
    </row>
    <row r="31" spans="2:25" x14ac:dyDescent="0.25">
      <c r="B31" s="536"/>
      <c r="Y31" s="537"/>
    </row>
    <row r="32" spans="2:25" x14ac:dyDescent="0.25">
      <c r="B32" s="535" t="s">
        <v>51</v>
      </c>
      <c r="C32" t="s">
        <v>53</v>
      </c>
      <c r="D32" t="s">
        <v>54</v>
      </c>
      <c r="Y32" s="537"/>
    </row>
    <row r="34" spans="2:24" x14ac:dyDescent="0.25">
      <c r="B34" s="540" t="s">
        <v>3</v>
      </c>
      <c r="C34" s="541" t="s">
        <v>3</v>
      </c>
      <c r="D34" s="4" t="s">
        <v>4</v>
      </c>
      <c r="E34" s="5" t="s">
        <v>5</v>
      </c>
      <c r="F34" s="6" t="s">
        <v>6</v>
      </c>
      <c r="G34" s="7" t="s">
        <v>7</v>
      </c>
      <c r="H34" s="8" t="s">
        <v>8</v>
      </c>
      <c r="I34" s="9" t="s">
        <v>9</v>
      </c>
      <c r="J34" s="10" t="s">
        <v>10</v>
      </c>
      <c r="K34" s="11" t="s">
        <v>11</v>
      </c>
      <c r="L34" s="12" t="s">
        <v>12</v>
      </c>
      <c r="M34" s="13" t="s">
        <v>13</v>
      </c>
      <c r="N34" s="14" t="s">
        <v>14</v>
      </c>
      <c r="O34" s="15" t="s">
        <v>15</v>
      </c>
      <c r="P34" s="16" t="s">
        <v>16</v>
      </c>
      <c r="Q34" s="17" t="s">
        <v>17</v>
      </c>
      <c r="R34" s="18" t="s">
        <v>18</v>
      </c>
      <c r="S34" s="19" t="s">
        <v>19</v>
      </c>
      <c r="T34" s="20" t="s">
        <v>20</v>
      </c>
      <c r="U34" s="21" t="s">
        <v>21</v>
      </c>
      <c r="V34" s="22" t="s">
        <v>22</v>
      </c>
      <c r="W34" s="23" t="s">
        <v>23</v>
      </c>
      <c r="X34" s="24" t="s">
        <v>24</v>
      </c>
    </row>
    <row r="35" spans="2:24" x14ac:dyDescent="0.25">
      <c r="B35" s="25" t="s">
        <v>25</v>
      </c>
      <c r="C35" s="26" t="s">
        <v>26</v>
      </c>
      <c r="D35" s="27" t="s">
        <v>26</v>
      </c>
      <c r="E35" s="28" t="s">
        <v>26</v>
      </c>
      <c r="F35" s="29" t="s">
        <v>26</v>
      </c>
      <c r="G35" s="30" t="s">
        <v>26</v>
      </c>
      <c r="H35" s="31" t="s">
        <v>26</v>
      </c>
      <c r="I35" s="32" t="s">
        <v>26</v>
      </c>
      <c r="J35" s="33" t="s">
        <v>26</v>
      </c>
      <c r="K35" s="34" t="s">
        <v>26</v>
      </c>
      <c r="L35" s="35" t="s">
        <v>26</v>
      </c>
      <c r="M35" s="36" t="s">
        <v>26</v>
      </c>
      <c r="N35" s="37" t="s">
        <v>26</v>
      </c>
      <c r="O35" s="38" t="s">
        <v>26</v>
      </c>
      <c r="P35" s="39" t="s">
        <v>26</v>
      </c>
      <c r="Q35" s="40" t="s">
        <v>26</v>
      </c>
      <c r="R35" s="41" t="s">
        <v>26</v>
      </c>
      <c r="S35" s="42" t="s">
        <v>26</v>
      </c>
      <c r="T35" s="43" t="s">
        <v>26</v>
      </c>
      <c r="U35" s="44" t="s">
        <v>26</v>
      </c>
      <c r="V35" s="45" t="s">
        <v>26</v>
      </c>
      <c r="W35" s="46" t="s">
        <v>26</v>
      </c>
      <c r="X35" s="47" t="s">
        <v>26</v>
      </c>
    </row>
    <row r="36" spans="2:24" ht="30" x14ac:dyDescent="0.25">
      <c r="B36" s="48" t="s">
        <v>27</v>
      </c>
      <c r="C36" s="49" t="s">
        <v>26</v>
      </c>
      <c r="D36" s="50">
        <f>D8*1000</f>
        <v>45037100</v>
      </c>
      <c r="E36" s="50">
        <f t="shared" ref="E36:X36" si="0">E8*1000</f>
        <v>46521000</v>
      </c>
      <c r="F36" s="50">
        <f t="shared" si="0"/>
        <v>47826900</v>
      </c>
      <c r="G36" s="50">
        <f t="shared" si="0"/>
        <v>50029700</v>
      </c>
      <c r="H36" s="50">
        <f t="shared" si="0"/>
        <v>53122600</v>
      </c>
      <c r="I36" s="50">
        <f t="shared" si="0"/>
        <v>56169400</v>
      </c>
      <c r="J36" s="50">
        <f t="shared" si="0"/>
        <v>57574600</v>
      </c>
      <c r="K36" s="50">
        <f t="shared" si="0"/>
        <v>58920200</v>
      </c>
      <c r="L36" s="50">
        <f t="shared" si="0"/>
        <v>61911900</v>
      </c>
      <c r="M36" s="50">
        <f t="shared" si="0"/>
        <v>64488100</v>
      </c>
      <c r="N36" s="50">
        <f t="shared" si="0"/>
        <v>66143200</v>
      </c>
      <c r="O36" s="50">
        <f t="shared" si="0"/>
        <v>66892600.000000007</v>
      </c>
      <c r="P36" s="50">
        <f t="shared" si="0"/>
        <v>68119300</v>
      </c>
      <c r="Q36" s="50">
        <f t="shared" si="0"/>
        <v>67725400</v>
      </c>
      <c r="R36" s="50">
        <f t="shared" si="0"/>
        <v>69774000</v>
      </c>
      <c r="S36" s="50">
        <f t="shared" si="0"/>
        <v>71356600</v>
      </c>
      <c r="T36" s="50">
        <f t="shared" si="0"/>
        <v>73674200</v>
      </c>
      <c r="U36" s="50">
        <f t="shared" si="0"/>
        <v>73100600</v>
      </c>
      <c r="V36" s="50">
        <f t="shared" si="0"/>
        <v>76662600</v>
      </c>
      <c r="W36" s="50">
        <f t="shared" si="0"/>
        <v>83216800</v>
      </c>
      <c r="X36" s="50">
        <f t="shared" si="0"/>
        <v>90165000</v>
      </c>
    </row>
    <row r="37" spans="2:24" ht="30" x14ac:dyDescent="0.25">
      <c r="B37" s="71" t="s">
        <v>28</v>
      </c>
      <c r="C37" s="72" t="s">
        <v>26</v>
      </c>
      <c r="D37" s="50">
        <f t="shared" ref="D37:X37" si="1">D9*1000</f>
        <v>39117800</v>
      </c>
      <c r="E37" s="50">
        <f t="shared" si="1"/>
        <v>40386200</v>
      </c>
      <c r="F37" s="50">
        <f t="shared" si="1"/>
        <v>41547900</v>
      </c>
      <c r="G37" s="50">
        <f t="shared" si="1"/>
        <v>43245400</v>
      </c>
      <c r="H37" s="50">
        <f t="shared" si="1"/>
        <v>45985300</v>
      </c>
      <c r="I37" s="50">
        <f t="shared" si="1"/>
        <v>48617100</v>
      </c>
      <c r="J37" s="50">
        <f t="shared" si="1"/>
        <v>49631100</v>
      </c>
      <c r="K37" s="50">
        <f t="shared" si="1"/>
        <v>50733900</v>
      </c>
      <c r="L37" s="50">
        <f t="shared" si="1"/>
        <v>53192900</v>
      </c>
      <c r="M37" s="50">
        <f t="shared" si="1"/>
        <v>55359000</v>
      </c>
      <c r="N37" s="50">
        <f t="shared" si="1"/>
        <v>56604800</v>
      </c>
      <c r="O37" s="50">
        <f t="shared" si="1"/>
        <v>57304900</v>
      </c>
      <c r="P37" s="50">
        <f t="shared" si="1"/>
        <v>58883000</v>
      </c>
      <c r="Q37" s="50">
        <f t="shared" si="1"/>
        <v>58196800</v>
      </c>
      <c r="R37" s="50">
        <f t="shared" si="1"/>
        <v>59859000</v>
      </c>
      <c r="S37" s="50">
        <f t="shared" si="1"/>
        <v>61189500</v>
      </c>
      <c r="T37" s="50">
        <f t="shared" si="1"/>
        <v>63286300</v>
      </c>
      <c r="U37" s="50">
        <f t="shared" si="1"/>
        <v>62375100</v>
      </c>
      <c r="V37" s="50">
        <f t="shared" si="1"/>
        <v>65663100.000000007</v>
      </c>
      <c r="W37" s="50">
        <f t="shared" si="1"/>
        <v>71184700</v>
      </c>
      <c r="X37" s="50">
        <f t="shared" si="1"/>
        <v>77169100</v>
      </c>
    </row>
    <row r="38" spans="2:24" ht="60" x14ac:dyDescent="0.25">
      <c r="B38" s="94" t="s">
        <v>29</v>
      </c>
      <c r="C38" s="95" t="s">
        <v>26</v>
      </c>
      <c r="D38" s="50">
        <f t="shared" ref="D38:X38" si="2">D10*1000</f>
        <v>23708600</v>
      </c>
      <c r="E38" s="50">
        <f t="shared" si="2"/>
        <v>24414200</v>
      </c>
      <c r="F38" s="50">
        <f t="shared" si="2"/>
        <v>25251400</v>
      </c>
      <c r="G38" s="50">
        <f t="shared" si="2"/>
        <v>26446900</v>
      </c>
      <c r="H38" s="50">
        <f t="shared" si="2"/>
        <v>28215900</v>
      </c>
      <c r="I38" s="50">
        <f t="shared" si="2"/>
        <v>29803000</v>
      </c>
      <c r="J38" s="50">
        <f t="shared" si="2"/>
        <v>30354800</v>
      </c>
      <c r="K38" s="50">
        <f t="shared" si="2"/>
        <v>31041200</v>
      </c>
      <c r="L38" s="50">
        <f t="shared" si="2"/>
        <v>32720600</v>
      </c>
      <c r="M38" s="50">
        <f t="shared" si="2"/>
        <v>34116000</v>
      </c>
      <c r="N38" s="50">
        <f t="shared" si="2"/>
        <v>34914500</v>
      </c>
      <c r="O38" s="50">
        <f t="shared" si="2"/>
        <v>35324100</v>
      </c>
      <c r="P38" s="50">
        <f t="shared" si="2"/>
        <v>36239600</v>
      </c>
      <c r="Q38" s="50">
        <f t="shared" si="2"/>
        <v>35196800</v>
      </c>
      <c r="R38" s="50">
        <f t="shared" si="2"/>
        <v>36119400</v>
      </c>
      <c r="S38" s="50">
        <f t="shared" si="2"/>
        <v>36585100</v>
      </c>
      <c r="T38" s="50">
        <f t="shared" si="2"/>
        <v>37902100</v>
      </c>
      <c r="U38" s="50">
        <f t="shared" si="2"/>
        <v>37351600</v>
      </c>
      <c r="V38" s="50">
        <f t="shared" si="2"/>
        <v>39411700</v>
      </c>
      <c r="W38" s="50">
        <f t="shared" si="2"/>
        <v>42730100</v>
      </c>
      <c r="X38" s="50">
        <f t="shared" si="2"/>
        <v>46011600</v>
      </c>
    </row>
    <row r="39" spans="2:24" ht="60" x14ac:dyDescent="0.25">
      <c r="B39" s="117" t="s">
        <v>30</v>
      </c>
      <c r="C39" s="118" t="s">
        <v>26</v>
      </c>
      <c r="D39" s="50">
        <f t="shared" ref="D39:X39" si="3">D11*1000</f>
        <v>23708600</v>
      </c>
      <c r="E39" s="50">
        <f t="shared" si="3"/>
        <v>24414200</v>
      </c>
      <c r="F39" s="50">
        <f t="shared" si="3"/>
        <v>25251400</v>
      </c>
      <c r="G39" s="50">
        <f t="shared" si="3"/>
        <v>26446900</v>
      </c>
      <c r="H39" s="50">
        <f t="shared" si="3"/>
        <v>28215900</v>
      </c>
      <c r="I39" s="50">
        <f t="shared" si="3"/>
        <v>29803000</v>
      </c>
      <c r="J39" s="50">
        <f t="shared" si="3"/>
        <v>30354800</v>
      </c>
      <c r="K39" s="50">
        <f t="shared" si="3"/>
        <v>31041200</v>
      </c>
      <c r="L39" s="50">
        <f t="shared" si="3"/>
        <v>32720600</v>
      </c>
      <c r="M39" s="50">
        <f t="shared" si="3"/>
        <v>34116000</v>
      </c>
      <c r="N39" s="50">
        <f t="shared" si="3"/>
        <v>34914500</v>
      </c>
      <c r="O39" s="50">
        <f t="shared" si="3"/>
        <v>35324100</v>
      </c>
      <c r="P39" s="50">
        <f t="shared" si="3"/>
        <v>36239600</v>
      </c>
      <c r="Q39" s="50">
        <f t="shared" si="3"/>
        <v>35196800</v>
      </c>
      <c r="R39" s="50">
        <f t="shared" si="3"/>
        <v>36119400</v>
      </c>
      <c r="S39" s="50">
        <f t="shared" si="3"/>
        <v>36585100</v>
      </c>
      <c r="T39" s="50">
        <f t="shared" si="3"/>
        <v>37902100</v>
      </c>
      <c r="U39" s="50">
        <f t="shared" si="3"/>
        <v>37351600</v>
      </c>
      <c r="V39" s="50">
        <f t="shared" si="3"/>
        <v>39411700</v>
      </c>
      <c r="W39" s="50">
        <f t="shared" si="3"/>
        <v>42730100</v>
      </c>
      <c r="X39" s="50">
        <f t="shared" si="3"/>
        <v>46011600</v>
      </c>
    </row>
    <row r="40" spans="2:24" ht="30" x14ac:dyDescent="0.25">
      <c r="B40" s="140" t="s">
        <v>31</v>
      </c>
      <c r="C40" s="141" t="s">
        <v>26</v>
      </c>
      <c r="D40" s="50">
        <f t="shared" ref="D40:X40" si="4">D12*1000</f>
        <v>3775700</v>
      </c>
      <c r="E40" s="50">
        <f t="shared" si="4"/>
        <v>3920100</v>
      </c>
      <c r="F40" s="50">
        <f t="shared" si="4"/>
        <v>4118300</v>
      </c>
      <c r="G40" s="50">
        <f t="shared" si="4"/>
        <v>4305300</v>
      </c>
      <c r="H40" s="50">
        <f t="shared" si="4"/>
        <v>4492700</v>
      </c>
      <c r="I40" s="50">
        <f t="shared" si="4"/>
        <v>4766900</v>
      </c>
      <c r="J40" s="50">
        <f t="shared" si="4"/>
        <v>5151200</v>
      </c>
      <c r="K40" s="50">
        <f t="shared" si="4"/>
        <v>5380600</v>
      </c>
      <c r="L40" s="50">
        <f t="shared" si="4"/>
        <v>5681200</v>
      </c>
      <c r="M40" s="50">
        <f t="shared" si="4"/>
        <v>6292500</v>
      </c>
      <c r="N40" s="50">
        <f t="shared" si="4"/>
        <v>6678100</v>
      </c>
      <c r="O40" s="50">
        <f t="shared" si="4"/>
        <v>6908000</v>
      </c>
      <c r="P40" s="50">
        <f t="shared" si="4"/>
        <v>7686100</v>
      </c>
      <c r="Q40" s="50">
        <f t="shared" si="4"/>
        <v>7711200</v>
      </c>
      <c r="R40" s="50">
        <f t="shared" si="4"/>
        <v>8012300</v>
      </c>
      <c r="S40" s="50">
        <f t="shared" si="4"/>
        <v>8262799.9999999991</v>
      </c>
      <c r="T40" s="50">
        <f t="shared" si="4"/>
        <v>8556700</v>
      </c>
      <c r="U40" s="50">
        <f t="shared" si="4"/>
        <v>8823500</v>
      </c>
      <c r="V40" s="50">
        <f t="shared" si="4"/>
        <v>9236900</v>
      </c>
      <c r="W40" s="50">
        <f t="shared" si="4"/>
        <v>9612300</v>
      </c>
      <c r="X40" s="50">
        <f t="shared" si="4"/>
        <v>10882600</v>
      </c>
    </row>
    <row r="41" spans="2:24" ht="30" x14ac:dyDescent="0.25">
      <c r="B41" s="163" t="s">
        <v>32</v>
      </c>
      <c r="C41" s="164" t="s">
        <v>26</v>
      </c>
      <c r="D41" s="50">
        <f t="shared" ref="D41:X41" si="5">D13*1000</f>
        <v>19932900</v>
      </c>
      <c r="E41" s="50">
        <f t="shared" si="5"/>
        <v>20494100</v>
      </c>
      <c r="F41" s="50">
        <f t="shared" si="5"/>
        <v>21133100</v>
      </c>
      <c r="G41" s="50">
        <f t="shared" si="5"/>
        <v>22141600</v>
      </c>
      <c r="H41" s="50">
        <f t="shared" si="5"/>
        <v>23723200</v>
      </c>
      <c r="I41" s="50">
        <f t="shared" si="5"/>
        <v>25036100</v>
      </c>
      <c r="J41" s="50">
        <f t="shared" si="5"/>
        <v>25203600</v>
      </c>
      <c r="K41" s="50">
        <f t="shared" si="5"/>
        <v>25660600</v>
      </c>
      <c r="L41" s="50">
        <f t="shared" si="5"/>
        <v>27039400</v>
      </c>
      <c r="M41" s="50">
        <f t="shared" si="5"/>
        <v>27823600</v>
      </c>
      <c r="N41" s="50">
        <f t="shared" si="5"/>
        <v>28236400</v>
      </c>
      <c r="O41" s="50">
        <f t="shared" si="5"/>
        <v>28416100</v>
      </c>
      <c r="P41" s="50">
        <f t="shared" si="5"/>
        <v>28553500</v>
      </c>
      <c r="Q41" s="50">
        <f t="shared" si="5"/>
        <v>27485600</v>
      </c>
      <c r="R41" s="50">
        <f t="shared" si="5"/>
        <v>28107100</v>
      </c>
      <c r="S41" s="50">
        <f t="shared" si="5"/>
        <v>28322300</v>
      </c>
      <c r="T41" s="50">
        <f t="shared" si="5"/>
        <v>29345400</v>
      </c>
      <c r="U41" s="50">
        <f t="shared" si="5"/>
        <v>28528100</v>
      </c>
      <c r="V41" s="50">
        <f t="shared" si="5"/>
        <v>30174800</v>
      </c>
      <c r="W41" s="50">
        <f t="shared" si="5"/>
        <v>33117800.000000004</v>
      </c>
      <c r="X41" s="50">
        <f t="shared" si="5"/>
        <v>35129000</v>
      </c>
    </row>
    <row r="42" spans="2:24" ht="75" x14ac:dyDescent="0.25">
      <c r="B42" s="186" t="s">
        <v>33</v>
      </c>
      <c r="C42" s="187" t="s">
        <v>26</v>
      </c>
      <c r="D42" s="50">
        <f t="shared" ref="D42:X42" si="6">D14*1000</f>
        <v>0</v>
      </c>
      <c r="E42" s="50">
        <f t="shared" si="6"/>
        <v>0</v>
      </c>
      <c r="F42" s="50">
        <f t="shared" si="6"/>
        <v>0</v>
      </c>
      <c r="G42" s="50">
        <f t="shared" si="6"/>
        <v>0</v>
      </c>
      <c r="H42" s="50">
        <f t="shared" si="6"/>
        <v>0</v>
      </c>
      <c r="I42" s="50">
        <f t="shared" si="6"/>
        <v>0</v>
      </c>
      <c r="J42" s="50">
        <f t="shared" si="6"/>
        <v>0</v>
      </c>
      <c r="K42" s="50">
        <f t="shared" si="6"/>
        <v>0</v>
      </c>
      <c r="L42" s="50">
        <f t="shared" si="6"/>
        <v>0</v>
      </c>
      <c r="M42" s="50">
        <f t="shared" si="6"/>
        <v>0</v>
      </c>
      <c r="N42" s="50">
        <f t="shared" si="6"/>
        <v>0</v>
      </c>
      <c r="O42" s="50">
        <f t="shared" si="6"/>
        <v>0</v>
      </c>
      <c r="P42" s="50">
        <f t="shared" si="6"/>
        <v>0</v>
      </c>
      <c r="Q42" s="50">
        <f t="shared" si="6"/>
        <v>0</v>
      </c>
      <c r="R42" s="50">
        <f t="shared" si="6"/>
        <v>0</v>
      </c>
      <c r="S42" s="50">
        <f t="shared" si="6"/>
        <v>0</v>
      </c>
      <c r="T42" s="50">
        <f t="shared" si="6"/>
        <v>0</v>
      </c>
      <c r="U42" s="50">
        <f t="shared" si="6"/>
        <v>0</v>
      </c>
      <c r="V42" s="50">
        <f t="shared" si="6"/>
        <v>0</v>
      </c>
      <c r="W42" s="50">
        <f t="shared" si="6"/>
        <v>0</v>
      </c>
      <c r="X42" s="50">
        <f t="shared" si="6"/>
        <v>0</v>
      </c>
    </row>
    <row r="43" spans="2:24" ht="30" x14ac:dyDescent="0.25">
      <c r="B43" s="209" t="s">
        <v>31</v>
      </c>
      <c r="C43" s="210" t="s">
        <v>26</v>
      </c>
      <c r="D43" s="50">
        <f t="shared" ref="D43:X43" si="7">D15*1000</f>
        <v>0</v>
      </c>
      <c r="E43" s="50">
        <f t="shared" si="7"/>
        <v>0</v>
      </c>
      <c r="F43" s="50">
        <f t="shared" si="7"/>
        <v>0</v>
      </c>
      <c r="G43" s="50">
        <f t="shared" si="7"/>
        <v>0</v>
      </c>
      <c r="H43" s="50">
        <f t="shared" si="7"/>
        <v>0</v>
      </c>
      <c r="I43" s="50">
        <f t="shared" si="7"/>
        <v>0</v>
      </c>
      <c r="J43" s="50">
        <f t="shared" si="7"/>
        <v>0</v>
      </c>
      <c r="K43" s="50">
        <f t="shared" si="7"/>
        <v>0</v>
      </c>
      <c r="L43" s="50">
        <f t="shared" si="7"/>
        <v>0</v>
      </c>
      <c r="M43" s="50">
        <f t="shared" si="7"/>
        <v>0</v>
      </c>
      <c r="N43" s="50">
        <f t="shared" si="7"/>
        <v>0</v>
      </c>
      <c r="O43" s="50">
        <f t="shared" si="7"/>
        <v>0</v>
      </c>
      <c r="P43" s="50">
        <f t="shared" si="7"/>
        <v>0</v>
      </c>
      <c r="Q43" s="50">
        <f t="shared" si="7"/>
        <v>0</v>
      </c>
      <c r="R43" s="50">
        <f t="shared" si="7"/>
        <v>0</v>
      </c>
      <c r="S43" s="50">
        <f t="shared" si="7"/>
        <v>0</v>
      </c>
      <c r="T43" s="50">
        <f t="shared" si="7"/>
        <v>0</v>
      </c>
      <c r="U43" s="50">
        <f t="shared" si="7"/>
        <v>0</v>
      </c>
      <c r="V43" s="50">
        <f t="shared" si="7"/>
        <v>0</v>
      </c>
      <c r="W43" s="50">
        <f t="shared" si="7"/>
        <v>0</v>
      </c>
      <c r="X43" s="50">
        <f t="shared" si="7"/>
        <v>0</v>
      </c>
    </row>
    <row r="44" spans="2:24" ht="30" x14ac:dyDescent="0.25">
      <c r="B44" s="232" t="s">
        <v>32</v>
      </c>
      <c r="C44" s="233" t="s">
        <v>26</v>
      </c>
      <c r="D44" s="50">
        <f t="shared" ref="D44:X44" si="8">D16*1000</f>
        <v>0</v>
      </c>
      <c r="E44" s="50">
        <f t="shared" si="8"/>
        <v>0</v>
      </c>
      <c r="F44" s="50">
        <f t="shared" si="8"/>
        <v>0</v>
      </c>
      <c r="G44" s="50">
        <f t="shared" si="8"/>
        <v>0</v>
      </c>
      <c r="H44" s="50">
        <f t="shared" si="8"/>
        <v>0</v>
      </c>
      <c r="I44" s="50">
        <f t="shared" si="8"/>
        <v>0</v>
      </c>
      <c r="J44" s="50">
        <f t="shared" si="8"/>
        <v>0</v>
      </c>
      <c r="K44" s="50">
        <f t="shared" si="8"/>
        <v>0</v>
      </c>
      <c r="L44" s="50">
        <f t="shared" si="8"/>
        <v>0</v>
      </c>
      <c r="M44" s="50">
        <f t="shared" si="8"/>
        <v>0</v>
      </c>
      <c r="N44" s="50">
        <f t="shared" si="8"/>
        <v>0</v>
      </c>
      <c r="O44" s="50">
        <f t="shared" si="8"/>
        <v>0</v>
      </c>
      <c r="P44" s="50">
        <f t="shared" si="8"/>
        <v>0</v>
      </c>
      <c r="Q44" s="50">
        <f t="shared" si="8"/>
        <v>0</v>
      </c>
      <c r="R44" s="50">
        <f t="shared" si="8"/>
        <v>0</v>
      </c>
      <c r="S44" s="50">
        <f t="shared" si="8"/>
        <v>0</v>
      </c>
      <c r="T44" s="50">
        <f t="shared" si="8"/>
        <v>0</v>
      </c>
      <c r="U44" s="50">
        <f t="shared" si="8"/>
        <v>0</v>
      </c>
      <c r="V44" s="50">
        <f t="shared" si="8"/>
        <v>0</v>
      </c>
      <c r="W44" s="50">
        <f t="shared" si="8"/>
        <v>0</v>
      </c>
      <c r="X44" s="50">
        <f t="shared" si="8"/>
        <v>0</v>
      </c>
    </row>
    <row r="45" spans="2:24" ht="45" x14ac:dyDescent="0.25">
      <c r="B45" s="255" t="s">
        <v>34</v>
      </c>
      <c r="C45" s="256" t="s">
        <v>26</v>
      </c>
      <c r="D45" s="50">
        <f t="shared" ref="D45:X45" si="9">D17*1000</f>
        <v>5919300</v>
      </c>
      <c r="E45" s="50">
        <f t="shared" si="9"/>
        <v>6134800</v>
      </c>
      <c r="F45" s="50">
        <f t="shared" si="9"/>
        <v>6279000</v>
      </c>
      <c r="G45" s="50">
        <f t="shared" si="9"/>
        <v>6784300</v>
      </c>
      <c r="H45" s="50">
        <f t="shared" si="9"/>
        <v>7137300</v>
      </c>
      <c r="I45" s="50">
        <f t="shared" si="9"/>
        <v>7552300</v>
      </c>
      <c r="J45" s="50">
        <f t="shared" si="9"/>
        <v>7943500</v>
      </c>
      <c r="K45" s="50">
        <f t="shared" si="9"/>
        <v>8186300</v>
      </c>
      <c r="L45" s="50">
        <f t="shared" si="9"/>
        <v>8719000</v>
      </c>
      <c r="M45" s="50">
        <f t="shared" si="9"/>
        <v>9129100</v>
      </c>
      <c r="N45" s="50">
        <f t="shared" si="9"/>
        <v>9538400</v>
      </c>
      <c r="O45" s="50">
        <f t="shared" si="9"/>
        <v>9587700</v>
      </c>
      <c r="P45" s="50">
        <f t="shared" si="9"/>
        <v>9236300</v>
      </c>
      <c r="Q45" s="50">
        <f t="shared" si="9"/>
        <v>9528700</v>
      </c>
      <c r="R45" s="50">
        <f t="shared" si="9"/>
        <v>9915000</v>
      </c>
      <c r="S45" s="50">
        <f t="shared" si="9"/>
        <v>10167100</v>
      </c>
      <c r="T45" s="50">
        <f t="shared" si="9"/>
        <v>10387900</v>
      </c>
      <c r="U45" s="50">
        <f t="shared" si="9"/>
        <v>10725600</v>
      </c>
      <c r="V45" s="50">
        <f t="shared" si="9"/>
        <v>10999600</v>
      </c>
      <c r="W45" s="50">
        <f t="shared" si="9"/>
        <v>12032100</v>
      </c>
      <c r="X45" s="50">
        <f t="shared" si="9"/>
        <v>12996100</v>
      </c>
    </row>
    <row r="46" spans="2:24" ht="45" x14ac:dyDescent="0.25">
      <c r="B46" s="278" t="s">
        <v>35</v>
      </c>
      <c r="C46" s="279" t="s">
        <v>26</v>
      </c>
      <c r="D46" s="50">
        <f t="shared" ref="D46:X46" si="10">D18*1000</f>
        <v>15404800</v>
      </c>
      <c r="E46" s="50">
        <f t="shared" si="10"/>
        <v>15967900</v>
      </c>
      <c r="F46" s="50">
        <f t="shared" si="10"/>
        <v>16295200</v>
      </c>
      <c r="G46" s="50">
        <f t="shared" si="10"/>
        <v>16793500</v>
      </c>
      <c r="H46" s="50">
        <f t="shared" si="10"/>
        <v>17767500</v>
      </c>
      <c r="I46" s="50">
        <f t="shared" si="10"/>
        <v>18817800</v>
      </c>
      <c r="J46" s="50">
        <f t="shared" si="10"/>
        <v>19278500</v>
      </c>
      <c r="K46" s="50">
        <f t="shared" si="10"/>
        <v>19695100</v>
      </c>
      <c r="L46" s="50">
        <f t="shared" si="10"/>
        <v>20471200</v>
      </c>
      <c r="M46" s="50">
        <f t="shared" si="10"/>
        <v>21238500</v>
      </c>
      <c r="N46" s="50">
        <f t="shared" si="10"/>
        <v>21686600</v>
      </c>
      <c r="O46" s="50">
        <f t="shared" si="10"/>
        <v>21980800</v>
      </c>
      <c r="P46" s="50">
        <f t="shared" si="10"/>
        <v>22644400</v>
      </c>
      <c r="Q46" s="50">
        <f t="shared" si="10"/>
        <v>22998600</v>
      </c>
      <c r="R46" s="50">
        <f t="shared" si="10"/>
        <v>23738200</v>
      </c>
      <c r="S46" s="50">
        <f t="shared" si="10"/>
        <v>24602900</v>
      </c>
      <c r="T46" s="50">
        <f t="shared" si="10"/>
        <v>25382900</v>
      </c>
      <c r="U46" s="50">
        <f t="shared" si="10"/>
        <v>25022200</v>
      </c>
      <c r="V46" s="50">
        <f t="shared" si="10"/>
        <v>26250500</v>
      </c>
      <c r="W46" s="50">
        <f t="shared" si="10"/>
        <v>28454000</v>
      </c>
      <c r="X46" s="50">
        <f t="shared" si="10"/>
        <v>31156700</v>
      </c>
    </row>
    <row r="47" spans="2:24" ht="45" x14ac:dyDescent="0.25">
      <c r="B47" s="301" t="s">
        <v>36</v>
      </c>
      <c r="C47" s="302" t="s">
        <v>26</v>
      </c>
      <c r="D47" s="50">
        <f t="shared" ref="D47:X47" si="11">D19*1000</f>
        <v>12106600</v>
      </c>
      <c r="E47" s="50">
        <f t="shared" si="11"/>
        <v>12506700</v>
      </c>
      <c r="F47" s="50">
        <f t="shared" si="11"/>
        <v>12709200</v>
      </c>
      <c r="G47" s="50">
        <f t="shared" si="11"/>
        <v>13016500</v>
      </c>
      <c r="H47" s="50">
        <f t="shared" si="11"/>
        <v>13848300</v>
      </c>
      <c r="I47" s="50">
        <f t="shared" si="11"/>
        <v>14406900</v>
      </c>
      <c r="J47" s="50">
        <f t="shared" si="11"/>
        <v>14645900</v>
      </c>
      <c r="K47" s="50">
        <f t="shared" si="11"/>
        <v>14996600</v>
      </c>
      <c r="L47" s="50">
        <f t="shared" si="11"/>
        <v>15696900</v>
      </c>
      <c r="M47" s="50">
        <f t="shared" si="11"/>
        <v>16239800</v>
      </c>
      <c r="N47" s="50">
        <f t="shared" si="11"/>
        <v>16477400.000000002</v>
      </c>
      <c r="O47" s="50">
        <f t="shared" si="11"/>
        <v>16683000</v>
      </c>
      <c r="P47" s="50">
        <f t="shared" si="11"/>
        <v>17036600</v>
      </c>
      <c r="Q47" s="50">
        <f t="shared" si="11"/>
        <v>17174800</v>
      </c>
      <c r="R47" s="50">
        <f t="shared" si="11"/>
        <v>17744500</v>
      </c>
      <c r="S47" s="50">
        <f t="shared" si="11"/>
        <v>18425500</v>
      </c>
      <c r="T47" s="50">
        <f t="shared" si="11"/>
        <v>19080800</v>
      </c>
      <c r="U47" s="50">
        <f t="shared" si="11"/>
        <v>18851600</v>
      </c>
      <c r="V47" s="50">
        <f t="shared" si="11"/>
        <v>19857500</v>
      </c>
      <c r="W47" s="50">
        <f t="shared" si="11"/>
        <v>21651300</v>
      </c>
      <c r="X47" s="50">
        <f t="shared" si="11"/>
        <v>23772000</v>
      </c>
    </row>
    <row r="48" spans="2:24" ht="60" x14ac:dyDescent="0.25">
      <c r="B48" s="324" t="s">
        <v>37</v>
      </c>
      <c r="C48" s="325" t="s">
        <v>26</v>
      </c>
      <c r="D48" s="50">
        <f t="shared" ref="D48:X48" si="12">D20*1000</f>
        <v>12104700</v>
      </c>
      <c r="E48" s="50">
        <f t="shared" si="12"/>
        <v>12505400</v>
      </c>
      <c r="F48" s="50">
        <f t="shared" si="12"/>
        <v>12707900</v>
      </c>
      <c r="G48" s="50">
        <f t="shared" si="12"/>
        <v>13015400</v>
      </c>
      <c r="H48" s="50">
        <f t="shared" si="12"/>
        <v>13847300</v>
      </c>
      <c r="I48" s="50">
        <f t="shared" si="12"/>
        <v>14405900</v>
      </c>
      <c r="J48" s="50">
        <f t="shared" si="12"/>
        <v>14644800</v>
      </c>
      <c r="K48" s="50">
        <f t="shared" si="12"/>
        <v>14995500</v>
      </c>
      <c r="L48" s="50">
        <f t="shared" si="12"/>
        <v>15695800</v>
      </c>
      <c r="M48" s="50">
        <f t="shared" si="12"/>
        <v>16238700</v>
      </c>
      <c r="N48" s="50">
        <f t="shared" si="12"/>
        <v>16476400.000000002</v>
      </c>
      <c r="O48" s="50">
        <f t="shared" si="12"/>
        <v>16681700</v>
      </c>
      <c r="P48" s="50">
        <f t="shared" si="12"/>
        <v>17035600</v>
      </c>
      <c r="Q48" s="50">
        <f t="shared" si="12"/>
        <v>17173800</v>
      </c>
      <c r="R48" s="50">
        <f t="shared" si="12"/>
        <v>17744000</v>
      </c>
      <c r="S48" s="50">
        <f t="shared" si="12"/>
        <v>18417700</v>
      </c>
      <c r="T48" s="50">
        <f t="shared" si="12"/>
        <v>19070600</v>
      </c>
      <c r="U48" s="50">
        <f t="shared" si="12"/>
        <v>18837400</v>
      </c>
      <c r="V48" s="50">
        <f t="shared" si="12"/>
        <v>19841000</v>
      </c>
      <c r="W48" s="50">
        <f t="shared" si="12"/>
        <v>21645400</v>
      </c>
      <c r="X48" s="50">
        <f t="shared" si="12"/>
        <v>23770600</v>
      </c>
    </row>
    <row r="49" spans="2:24" ht="60" x14ac:dyDescent="0.25">
      <c r="B49" s="347" t="s">
        <v>38</v>
      </c>
      <c r="C49" s="348" t="s">
        <v>26</v>
      </c>
      <c r="D49" s="50">
        <f t="shared" ref="D49:X49" si="13">D21*1000</f>
        <v>1900</v>
      </c>
      <c r="E49" s="50">
        <f t="shared" si="13"/>
        <v>1300</v>
      </c>
      <c r="F49" s="50">
        <f t="shared" si="13"/>
        <v>1300</v>
      </c>
      <c r="G49" s="50">
        <f t="shared" si="13"/>
        <v>1100</v>
      </c>
      <c r="H49" s="50">
        <f t="shared" si="13"/>
        <v>1000</v>
      </c>
      <c r="I49" s="50">
        <f t="shared" si="13"/>
        <v>1000</v>
      </c>
      <c r="J49" s="50">
        <f t="shared" si="13"/>
        <v>1100</v>
      </c>
      <c r="K49" s="50">
        <f t="shared" si="13"/>
        <v>1100</v>
      </c>
      <c r="L49" s="50">
        <f t="shared" si="13"/>
        <v>1100</v>
      </c>
      <c r="M49" s="50">
        <f t="shared" si="13"/>
        <v>1100</v>
      </c>
      <c r="N49" s="50">
        <f t="shared" si="13"/>
        <v>1000</v>
      </c>
      <c r="O49" s="50">
        <f t="shared" si="13"/>
        <v>1300</v>
      </c>
      <c r="P49" s="50">
        <f t="shared" si="13"/>
        <v>1000</v>
      </c>
      <c r="Q49" s="50">
        <f t="shared" si="13"/>
        <v>1000</v>
      </c>
      <c r="R49" s="50">
        <f t="shared" si="13"/>
        <v>600</v>
      </c>
      <c r="S49" s="50">
        <f t="shared" si="13"/>
        <v>7800</v>
      </c>
      <c r="T49" s="50">
        <f t="shared" si="13"/>
        <v>10200</v>
      </c>
      <c r="U49" s="50">
        <f t="shared" si="13"/>
        <v>14200</v>
      </c>
      <c r="V49" s="50">
        <f t="shared" si="13"/>
        <v>16500</v>
      </c>
      <c r="W49" s="50">
        <f t="shared" si="13"/>
        <v>5900</v>
      </c>
      <c r="X49" s="50">
        <f t="shared" si="13"/>
        <v>1400</v>
      </c>
    </row>
    <row r="50" spans="2:24" ht="45" x14ac:dyDescent="0.25">
      <c r="B50" s="370" t="s">
        <v>39</v>
      </c>
      <c r="C50" s="371" t="s">
        <v>26</v>
      </c>
      <c r="D50" s="50">
        <f t="shared" ref="D50:X50" si="14">D22*1000</f>
        <v>2266200</v>
      </c>
      <c r="E50" s="50">
        <f t="shared" si="14"/>
        <v>2365000</v>
      </c>
      <c r="F50" s="50">
        <f t="shared" si="14"/>
        <v>2427300</v>
      </c>
      <c r="G50" s="50">
        <f t="shared" si="14"/>
        <v>2569400</v>
      </c>
      <c r="H50" s="50">
        <f t="shared" si="14"/>
        <v>2678400</v>
      </c>
      <c r="I50" s="50">
        <f t="shared" si="14"/>
        <v>3066100</v>
      </c>
      <c r="J50" s="50">
        <f t="shared" si="14"/>
        <v>3233900</v>
      </c>
      <c r="K50" s="50">
        <f t="shared" si="14"/>
        <v>3342400</v>
      </c>
      <c r="L50" s="50">
        <f t="shared" si="14"/>
        <v>3400200</v>
      </c>
      <c r="M50" s="50">
        <f t="shared" si="14"/>
        <v>3538600</v>
      </c>
      <c r="N50" s="50">
        <f t="shared" si="14"/>
        <v>3703100</v>
      </c>
      <c r="O50" s="50">
        <f t="shared" si="14"/>
        <v>3725500</v>
      </c>
      <c r="P50" s="50">
        <f t="shared" si="14"/>
        <v>3974900</v>
      </c>
      <c r="Q50" s="50">
        <f t="shared" si="14"/>
        <v>4071300</v>
      </c>
      <c r="R50" s="50">
        <f t="shared" si="14"/>
        <v>4153100.0000000005</v>
      </c>
      <c r="S50" s="50">
        <f t="shared" si="14"/>
        <v>4238000</v>
      </c>
      <c r="T50" s="50">
        <f t="shared" si="14"/>
        <v>4327100</v>
      </c>
      <c r="U50" s="50">
        <f t="shared" si="14"/>
        <v>4087800</v>
      </c>
      <c r="V50" s="50">
        <f t="shared" si="14"/>
        <v>4433200</v>
      </c>
      <c r="W50" s="50">
        <f t="shared" si="14"/>
        <v>4596300</v>
      </c>
      <c r="X50" s="50">
        <f t="shared" si="14"/>
        <v>5047200</v>
      </c>
    </row>
    <row r="51" spans="2:24" ht="75" x14ac:dyDescent="0.25">
      <c r="B51" s="393" t="s">
        <v>40</v>
      </c>
      <c r="C51" s="394" t="s">
        <v>26</v>
      </c>
      <c r="D51" s="50">
        <f t="shared" ref="D51:X51" si="15">D23*1000</f>
        <v>2266200</v>
      </c>
      <c r="E51" s="50">
        <f t="shared" si="15"/>
        <v>2365000</v>
      </c>
      <c r="F51" s="50">
        <f t="shared" si="15"/>
        <v>2427300</v>
      </c>
      <c r="G51" s="50">
        <f t="shared" si="15"/>
        <v>2569400</v>
      </c>
      <c r="H51" s="50">
        <f t="shared" si="15"/>
        <v>2678400</v>
      </c>
      <c r="I51" s="50">
        <f t="shared" si="15"/>
        <v>3066100</v>
      </c>
      <c r="J51" s="50">
        <f t="shared" si="15"/>
        <v>3233900</v>
      </c>
      <c r="K51" s="50">
        <f t="shared" si="15"/>
        <v>3342400</v>
      </c>
      <c r="L51" s="50">
        <f t="shared" si="15"/>
        <v>3400200</v>
      </c>
      <c r="M51" s="50">
        <f t="shared" si="15"/>
        <v>3538600</v>
      </c>
      <c r="N51" s="50">
        <f t="shared" si="15"/>
        <v>3703100</v>
      </c>
      <c r="O51" s="50">
        <f t="shared" si="15"/>
        <v>3725500</v>
      </c>
      <c r="P51" s="50">
        <f t="shared" si="15"/>
        <v>3974900</v>
      </c>
      <c r="Q51" s="50">
        <f t="shared" si="15"/>
        <v>4071300</v>
      </c>
      <c r="R51" s="50">
        <f t="shared" si="15"/>
        <v>4153100.0000000005</v>
      </c>
      <c r="S51" s="50">
        <f t="shared" si="15"/>
        <v>4238000</v>
      </c>
      <c r="T51" s="50">
        <f t="shared" si="15"/>
        <v>4327100</v>
      </c>
      <c r="U51" s="50">
        <f t="shared" si="15"/>
        <v>4087800</v>
      </c>
      <c r="V51" s="50">
        <f t="shared" si="15"/>
        <v>4433200</v>
      </c>
      <c r="W51" s="50">
        <f t="shared" si="15"/>
        <v>4596300</v>
      </c>
      <c r="X51" s="50">
        <f t="shared" si="15"/>
        <v>5047200</v>
      </c>
    </row>
    <row r="52" spans="2:24" ht="75" x14ac:dyDescent="0.25">
      <c r="B52" s="416" t="s">
        <v>41</v>
      </c>
      <c r="C52" s="417" t="s">
        <v>26</v>
      </c>
      <c r="D52" s="50">
        <f t="shared" ref="D52:X52" si="16">D24*1000</f>
        <v>0</v>
      </c>
      <c r="E52" s="50">
        <f t="shared" si="16"/>
        <v>0</v>
      </c>
      <c r="F52" s="50">
        <f t="shared" si="16"/>
        <v>0</v>
      </c>
      <c r="G52" s="50">
        <f t="shared" si="16"/>
        <v>0</v>
      </c>
      <c r="H52" s="50">
        <f t="shared" si="16"/>
        <v>0</v>
      </c>
      <c r="I52" s="50">
        <f t="shared" si="16"/>
        <v>0</v>
      </c>
      <c r="J52" s="50">
        <f t="shared" si="16"/>
        <v>0</v>
      </c>
      <c r="K52" s="50">
        <f t="shared" si="16"/>
        <v>0</v>
      </c>
      <c r="L52" s="50">
        <f t="shared" si="16"/>
        <v>0</v>
      </c>
      <c r="M52" s="50">
        <f t="shared" si="16"/>
        <v>0</v>
      </c>
      <c r="N52" s="50">
        <f t="shared" si="16"/>
        <v>0</v>
      </c>
      <c r="O52" s="50">
        <f t="shared" si="16"/>
        <v>0</v>
      </c>
      <c r="P52" s="50">
        <f t="shared" si="16"/>
        <v>0</v>
      </c>
      <c r="Q52" s="50">
        <f t="shared" si="16"/>
        <v>0</v>
      </c>
      <c r="R52" s="50">
        <f t="shared" si="16"/>
        <v>0</v>
      </c>
      <c r="S52" s="50">
        <f t="shared" si="16"/>
        <v>0</v>
      </c>
      <c r="T52" s="50">
        <f t="shared" si="16"/>
        <v>0</v>
      </c>
      <c r="U52" s="50">
        <f t="shared" si="16"/>
        <v>0</v>
      </c>
      <c r="V52" s="50">
        <f t="shared" si="16"/>
        <v>0</v>
      </c>
      <c r="W52" s="50">
        <f t="shared" si="16"/>
        <v>0</v>
      </c>
      <c r="X52" s="50">
        <f t="shared" si="16"/>
        <v>0</v>
      </c>
    </row>
    <row r="53" spans="2:24" ht="45" x14ac:dyDescent="0.25">
      <c r="B53" s="439" t="s">
        <v>42</v>
      </c>
      <c r="C53" s="440" t="s">
        <v>26</v>
      </c>
      <c r="D53" s="50">
        <f t="shared" ref="D53:X53" si="17">D25*1000</f>
        <v>1032000</v>
      </c>
      <c r="E53" s="50">
        <f t="shared" si="17"/>
        <v>1096200</v>
      </c>
      <c r="F53" s="50">
        <f t="shared" si="17"/>
        <v>1158700</v>
      </c>
      <c r="G53" s="50">
        <f t="shared" si="17"/>
        <v>1207600</v>
      </c>
      <c r="H53" s="50">
        <f t="shared" si="17"/>
        <v>1240800</v>
      </c>
      <c r="I53" s="50">
        <f t="shared" si="17"/>
        <v>1344800</v>
      </c>
      <c r="J53" s="50">
        <f t="shared" si="17"/>
        <v>1398700</v>
      </c>
      <c r="K53" s="50">
        <f t="shared" si="17"/>
        <v>1356100</v>
      </c>
      <c r="L53" s="50">
        <f t="shared" si="17"/>
        <v>1374100</v>
      </c>
      <c r="M53" s="50">
        <f t="shared" si="17"/>
        <v>1460100</v>
      </c>
      <c r="N53" s="50">
        <f t="shared" si="17"/>
        <v>1506000</v>
      </c>
      <c r="O53" s="50">
        <f t="shared" si="17"/>
        <v>1572300</v>
      </c>
      <c r="P53" s="50">
        <f t="shared" si="17"/>
        <v>1632900</v>
      </c>
      <c r="Q53" s="50">
        <f t="shared" si="17"/>
        <v>1752400</v>
      </c>
      <c r="R53" s="50">
        <f t="shared" si="17"/>
        <v>1840600</v>
      </c>
      <c r="S53" s="50">
        <f t="shared" si="17"/>
        <v>1939400</v>
      </c>
      <c r="T53" s="50">
        <f t="shared" si="17"/>
        <v>1975000</v>
      </c>
      <c r="U53" s="50">
        <f t="shared" si="17"/>
        <v>2082800.0000000002</v>
      </c>
      <c r="V53" s="50">
        <f t="shared" si="17"/>
        <v>1959800</v>
      </c>
      <c r="W53" s="50">
        <f t="shared" si="17"/>
        <v>2206400</v>
      </c>
      <c r="X53" s="50">
        <f t="shared" si="17"/>
        <v>2337600</v>
      </c>
    </row>
    <row r="54" spans="2:24" ht="75" x14ac:dyDescent="0.25">
      <c r="B54" s="462" t="s">
        <v>43</v>
      </c>
      <c r="C54" s="463" t="s">
        <v>26</v>
      </c>
      <c r="D54" s="50">
        <f t="shared" ref="D54:X54" si="18">D26*1000</f>
        <v>983900</v>
      </c>
      <c r="E54" s="50">
        <f t="shared" si="18"/>
        <v>1048099.9999999999</v>
      </c>
      <c r="F54" s="50">
        <f t="shared" si="18"/>
        <v>1109400</v>
      </c>
      <c r="G54" s="50">
        <f t="shared" si="18"/>
        <v>1153500</v>
      </c>
      <c r="H54" s="50">
        <f t="shared" si="18"/>
        <v>1187200</v>
      </c>
      <c r="I54" s="50">
        <f t="shared" si="18"/>
        <v>1283700</v>
      </c>
      <c r="J54" s="50">
        <f t="shared" si="18"/>
        <v>1337600</v>
      </c>
      <c r="K54" s="50">
        <f t="shared" si="18"/>
        <v>1295000</v>
      </c>
      <c r="L54" s="50">
        <f t="shared" si="18"/>
        <v>1308500</v>
      </c>
      <c r="M54" s="50">
        <f t="shared" si="18"/>
        <v>1390100</v>
      </c>
      <c r="N54" s="50">
        <f t="shared" si="18"/>
        <v>1432700</v>
      </c>
      <c r="O54" s="50">
        <f t="shared" si="18"/>
        <v>1500500</v>
      </c>
      <c r="P54" s="50">
        <f t="shared" si="18"/>
        <v>1562300</v>
      </c>
      <c r="Q54" s="50">
        <f t="shared" si="18"/>
        <v>1681900</v>
      </c>
      <c r="R54" s="50">
        <f t="shared" si="18"/>
        <v>1768200</v>
      </c>
      <c r="S54" s="50">
        <f t="shared" si="18"/>
        <v>1864000</v>
      </c>
      <c r="T54" s="50">
        <f t="shared" si="18"/>
        <v>1902900</v>
      </c>
      <c r="U54" s="50">
        <f t="shared" si="18"/>
        <v>2016300</v>
      </c>
      <c r="V54" s="50">
        <f t="shared" si="18"/>
        <v>1894500</v>
      </c>
      <c r="W54" s="50">
        <f t="shared" si="18"/>
        <v>2141200</v>
      </c>
      <c r="X54" s="50">
        <f t="shared" si="18"/>
        <v>2265000</v>
      </c>
    </row>
    <row r="55" spans="2:24" ht="75" x14ac:dyDescent="0.25">
      <c r="B55" s="485" t="s">
        <v>44</v>
      </c>
      <c r="C55" s="486" t="s">
        <v>26</v>
      </c>
      <c r="D55" s="50">
        <f t="shared" ref="D55:X55" si="19">D27*1000</f>
        <v>48100</v>
      </c>
      <c r="E55" s="50">
        <f t="shared" si="19"/>
        <v>48100</v>
      </c>
      <c r="F55" s="50">
        <f t="shared" si="19"/>
        <v>49300</v>
      </c>
      <c r="G55" s="50">
        <f t="shared" si="19"/>
        <v>54100</v>
      </c>
      <c r="H55" s="50">
        <f t="shared" si="19"/>
        <v>53600</v>
      </c>
      <c r="I55" s="50">
        <f t="shared" si="19"/>
        <v>61100</v>
      </c>
      <c r="J55" s="50">
        <f t="shared" si="19"/>
        <v>61100</v>
      </c>
      <c r="K55" s="50">
        <f t="shared" si="19"/>
        <v>61100</v>
      </c>
      <c r="L55" s="50">
        <f t="shared" si="19"/>
        <v>65600</v>
      </c>
      <c r="M55" s="50">
        <f t="shared" si="19"/>
        <v>70000</v>
      </c>
      <c r="N55" s="50">
        <f t="shared" si="19"/>
        <v>73300</v>
      </c>
      <c r="O55" s="50">
        <f t="shared" si="19"/>
        <v>71800</v>
      </c>
      <c r="P55" s="50">
        <f t="shared" si="19"/>
        <v>70500</v>
      </c>
      <c r="Q55" s="50">
        <f t="shared" si="19"/>
        <v>70500</v>
      </c>
      <c r="R55" s="50">
        <f t="shared" si="19"/>
        <v>72400</v>
      </c>
      <c r="S55" s="50">
        <f t="shared" si="19"/>
        <v>75400</v>
      </c>
      <c r="T55" s="50">
        <f t="shared" si="19"/>
        <v>72100</v>
      </c>
      <c r="U55" s="50">
        <f t="shared" si="19"/>
        <v>66500</v>
      </c>
      <c r="V55" s="50">
        <f t="shared" si="19"/>
        <v>65200</v>
      </c>
      <c r="W55" s="50">
        <f t="shared" si="19"/>
        <v>65200</v>
      </c>
      <c r="X55" s="50">
        <f t="shared" si="19"/>
        <v>72600</v>
      </c>
    </row>
    <row r="56" spans="2:24" ht="45" x14ac:dyDescent="0.25">
      <c r="B56" s="508" t="s">
        <v>45</v>
      </c>
      <c r="C56" s="509" t="s">
        <v>26</v>
      </c>
      <c r="D56" s="50">
        <f t="shared" ref="D56:X56" si="20">D28*1000</f>
        <v>5600</v>
      </c>
      <c r="E56" s="50">
        <f t="shared" si="20"/>
        <v>5700</v>
      </c>
      <c r="F56" s="50">
        <f t="shared" si="20"/>
        <v>5500</v>
      </c>
      <c r="G56" s="50">
        <f t="shared" si="20"/>
        <v>10300</v>
      </c>
      <c r="H56" s="50">
        <f t="shared" si="20"/>
        <v>6400</v>
      </c>
      <c r="I56" s="50">
        <f t="shared" si="20"/>
        <v>2800</v>
      </c>
      <c r="J56" s="50">
        <f t="shared" si="20"/>
        <v>3800</v>
      </c>
      <c r="K56" s="50">
        <f t="shared" si="20"/>
        <v>4800</v>
      </c>
      <c r="L56" s="50">
        <f t="shared" si="20"/>
        <v>7300</v>
      </c>
      <c r="M56" s="50">
        <f t="shared" si="20"/>
        <v>7000</v>
      </c>
      <c r="N56" s="50">
        <f t="shared" si="20"/>
        <v>6400</v>
      </c>
      <c r="O56" s="50">
        <f t="shared" si="20"/>
        <v>2500</v>
      </c>
      <c r="P56" s="50">
        <f t="shared" si="20"/>
        <v>1400</v>
      </c>
      <c r="Q56" s="50">
        <f t="shared" si="20"/>
        <v>1500</v>
      </c>
      <c r="R56" s="50">
        <f t="shared" si="20"/>
        <v>1500</v>
      </c>
      <c r="S56" s="50">
        <f t="shared" si="20"/>
        <v>1500</v>
      </c>
      <c r="T56" s="50">
        <f t="shared" si="20"/>
        <v>1500</v>
      </c>
      <c r="U56" s="50">
        <f t="shared" si="20"/>
        <v>1400</v>
      </c>
      <c r="V56" s="50">
        <f t="shared" si="20"/>
        <v>1000</v>
      </c>
      <c r="W56" s="50">
        <f t="shared" si="20"/>
        <v>700</v>
      </c>
      <c r="X56" s="50">
        <f t="shared" si="20"/>
        <v>700</v>
      </c>
    </row>
  </sheetData>
  <mergeCells count="2">
    <mergeCell ref="B6:C6"/>
    <mergeCell ref="B34:C34"/>
  </mergeCells>
  <hyperlinks>
    <hyperlink ref="B30" r:id="rId1" xr:uid="{00000000-0004-0000-0000-000000000000}"/>
    <hyperlink ref="Y30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8"/>
  <sheetViews>
    <sheetView workbookViewId="0"/>
  </sheetViews>
  <sheetFormatPr defaultRowHeight="15" x14ac:dyDescent="0.25"/>
  <cols>
    <col min="2" max="2" width="115" style="533" customWidth="1"/>
  </cols>
  <sheetData>
    <row r="1" spans="2:2" x14ac:dyDescent="0.25">
      <c r="B1" s="534" t="s">
        <v>0</v>
      </c>
    </row>
    <row r="2" spans="2:2" ht="55.5" customHeight="1" x14ac:dyDescent="0.25">
      <c r="B2" s="533" t="s">
        <v>47</v>
      </c>
    </row>
    <row r="5" spans="2:2" ht="39.75" customHeight="1" x14ac:dyDescent="0.25">
      <c r="B5" s="533" t="s">
        <v>48</v>
      </c>
    </row>
    <row r="7" spans="2:2" x14ac:dyDescent="0.25">
      <c r="B7" s="533" t="s">
        <v>49</v>
      </c>
    </row>
    <row r="8" spans="2:2" x14ac:dyDescent="0.25">
      <c r="B8" s="53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 Vinck</cp:lastModifiedBy>
  <dcterms:modified xsi:type="dcterms:W3CDTF">2026-06-08T08:25:11Z</dcterms:modified>
</cp:coreProperties>
</file>